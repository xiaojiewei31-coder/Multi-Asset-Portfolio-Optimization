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60" activeTab="2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omments1.xml><?xml version="1.0" encoding="utf-8"?>
<comments xmlns="http://schemas.openxmlformats.org/spreadsheetml/2006/main">
  <authors>
    <author>lenovo</author>
  </authors>
  <commentList>
    <comment ref="B5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  <comment ref="E5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  <comment ref="H5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  <comment ref="K5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<sst xmlns="http://schemas.openxmlformats.org/spreadsheetml/2006/main" count="1379" uniqueCount="166">
  <si>
    <t>HSREIT.HI</t>
  </si>
  <si>
    <t>518880.SH</t>
  </si>
  <si>
    <t>HSI.HI</t>
  </si>
  <si>
    <t>SPX.GI</t>
  </si>
  <si>
    <t>日期</t>
  </si>
  <si>
    <t>收盘价</t>
  </si>
  <si>
    <t>Date</t>
  </si>
  <si>
    <t>close</t>
  </si>
  <si>
    <t>恒生REIT</t>
  </si>
  <si>
    <t>黄金ETF</t>
  </si>
  <si>
    <t>恒生指数</t>
  </si>
  <si>
    <t>标普500</t>
  </si>
  <si>
    <t>沪深300</t>
  </si>
  <si>
    <t>中证500</t>
  </si>
  <si>
    <t>中证1000</t>
  </si>
  <si>
    <t>中证全债</t>
  </si>
  <si>
    <t>上证国债</t>
  </si>
  <si>
    <t>399300.SH</t>
  </si>
  <si>
    <t>H11001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</si>
  <si>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</si>
  <si>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</si>
  <si>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</si>
  <si>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</si>
  <si>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</si>
  <si>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</si>
  <si>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</si>
  <si>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</si>
  <si>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</si>
  <si>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</si>
  <si>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</si>
  <si>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</si>
  <si>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</si>
  <si>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</si>
  <si>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</si>
  <si>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</si>
  <si>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</si>
  <si>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</si>
  <si>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</si>
  <si>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</si>
  <si>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</si>
  <si>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</si>
  <si>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</si>
  <si>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</si>
  <si>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</si>
  <si>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</si>
  <si>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</si>
  <si>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</si>
  <si>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</si>
  <si>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</si>
  <si>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</si>
  <si>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</si>
  <si>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</si>
  <si>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</si>
  <si>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</si>
  <si>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</si>
  <si>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</si>
  <si>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</si>
  <si>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</si>
  <si>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</si>
  <si>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</si>
  <si>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</si>
  <si>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</si>
  <si>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</si>
  <si>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</si>
  <si>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</si>
  <si>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</si>
  <si>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</si>
  <si>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</si>
  <si>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</si>
  <si>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</si>
  <si>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</si>
  <si>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</si>
  <si>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</si>
  <si>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</si>
  <si>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</si>
  <si>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</si>
  <si>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</si>
  <si>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</si>
  <si>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</si>
  <si>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</si>
  <si>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</si>
  <si>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</si>
  <si>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</si>
  <si>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</si>
  <si>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</si>
  <si>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</si>
  <si>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</si>
  <si>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</si>
  <si>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</si>
  <si>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</si>
  <si>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</si>
  <si>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</si>
  <si>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</si>
  <si>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</si>
  <si>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</si>
  <si>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</si>
  <si>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</si>
  <si>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</si>
  <si>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</si>
  <si>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</si>
  <si>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</si>
  <si>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</si>
  <si>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</si>
  <si>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</si>
  <si>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</si>
  <si>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</si>
  <si>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</si>
  <si>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</si>
  <si>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</si>
  <si>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</si>
  <si>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</si>
  <si>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</si>
  <si>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</si>
  <si>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</si>
  <si>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</si>
  <si>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</si>
  <si>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</si>
  <si>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</si>
  <si>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</si>
  <si>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</si>
  <si>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</si>
  <si>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</si>
  <si>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</si>
  <si>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</si>
  <si>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</si>
  <si>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</si>
  <si>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</si>
  <si>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</si>
  <si>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</si>
  <si>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</si>
  <si>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</si>
  <si>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</si>
  <si>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</si>
  <si>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</si>
  <si>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</si>
  <si>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</si>
  <si>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</si>
  <si>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</si>
  <si>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</si>
  <si>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</si>
  <si>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</si>
  <si>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</si>
  <si>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</si>
  <si>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</si>
  <si>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</si>
  <si>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</si>
  <si>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</si>
  <si>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</si>
  <si>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</si>
  <si>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</si>
  <si>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</si>
  <si>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月度平均收益率</t>
  </si>
  <si>
    <t>年化收益</t>
  </si>
  <si>
    <t>月度标准差</t>
  </si>
  <si>
    <t>年度标准差</t>
  </si>
  <si>
    <t>协方差</t>
  </si>
  <si>
    <t>组合年化收益</t>
  </si>
  <si>
    <t>000300.SH</t>
  </si>
  <si>
    <t>000905.SH</t>
  </si>
  <si>
    <t>000852.SH</t>
  </si>
  <si>
    <t>H11001.CSI</t>
  </si>
  <si>
    <t>N00012.SH</t>
  </si>
  <si>
    <t>📈 五种有风险组合的年化回报为：</t>
  </si>
  <si>
    <t>📈 投资组合年化标准差（波动率）为：</t>
  </si>
  <si>
    <t>Rf</t>
  </si>
  <si>
    <t>sharp 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</si>
</sst>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/>
    <xf numFmtId="0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10" fontId="0" fillId="0" borderId="0" xfId="0" applyNumberFormat="1"/>
    <xf numFmtId="10" fontId="2" fillId="0" borderId="0" xfId="0" applyNumberFormat="1" applyFont="1" applyFill="1" applyAlignment="1">
      <alignment vertical="center"/>
    </xf>
    <xf numFmtId="0" fontId="0" fillId="2" borderId="0" xfId="0" applyFill="1"/>
    <xf numFmtId="176" fontId="0" fillId="0" borderId="0" xfId="0" applyNumberFormat="1" applyAlignment="1">
      <alignment horizontal="right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weixint/Library/Containers/com.tencent.xinWeChat/Data/Library/Application Support/com.tencent.xinWeChat/2.0b4.0.9/1a584c91bfde26989c5b7af20b6f181d/Message/MessageTemp/528662be2e79295d8e13069546e70fb0/File/D:/DataBrowse/XLA/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"/>
  <sheetViews>
    <sheetView workbookViewId="0">
      <selection activeCell="L6" sqref="L6"/>
    </sheetView>
  </sheetViews>
  <sheetFormatPr defaultColWidth="9" defaultRowHeight="16.8"/>
  <cols>
    <col min="1" max="1" width="11.0803571428571" customWidth="1"/>
    <col min="2" max="2" width="9.58035714285714" customWidth="1"/>
    <col min="4" max="4" width="11.0803571428571" customWidth="1"/>
    <col min="7" max="7" width="11.0803571428571" customWidth="1"/>
    <col min="8" max="8" width="10.6607142857143" customWidth="1"/>
    <col min="10" max="10" width="11.0803571428571" customWidth="1"/>
    <col min="11" max="11" width="9.58035714285714" customWidth="1"/>
  </cols>
  <sheetData>
    <row r="1" spans="2:11">
      <c r="B1" s="11">
        <f>[1]!s_info_name(B2)</f>
        <v>0</v>
      </c>
      <c r="E1" s="11">
        <f>[1]!s_info_name(E2)</f>
        <v>0</v>
      </c>
      <c r="H1" s="11">
        <f>[1]!s_info_name(H2)</f>
        <v>0</v>
      </c>
      <c r="K1" s="11">
        <f>[1]!s_info_name(K2)</f>
        <v>0</v>
      </c>
    </row>
    <row r="2" spans="2:11">
      <c r="B2" s="11" t="s">
        <v>0</v>
      </c>
      <c r="E2" s="11" t="s">
        <v>1</v>
      </c>
      <c r="H2" s="11" t="s">
        <v>2</v>
      </c>
      <c r="K2" s="11" t="s">
        <v>3</v>
      </c>
    </row>
    <row r="3" spans="1:11">
      <c r="A3" s="11" t="s">
        <v>4</v>
      </c>
      <c r="B3" s="11" t="s">
        <v>5</v>
      </c>
      <c r="D3" s="11" t="s">
        <v>4</v>
      </c>
      <c r="E3" s="11" t="s">
        <v>5</v>
      </c>
      <c r="G3" s="11" t="s">
        <v>4</v>
      </c>
      <c r="H3" s="11" t="s">
        <v>5</v>
      </c>
      <c r="J3" s="11" t="s">
        <v>4</v>
      </c>
      <c r="K3" s="11" t="s">
        <v>5</v>
      </c>
    </row>
    <row r="4" spans="1:11">
      <c r="A4" s="11" t="s">
        <v>6</v>
      </c>
      <c r="B4" s="11" t="s">
        <v>7</v>
      </c>
      <c r="D4" s="11" t="s">
        <v>6</v>
      </c>
      <c r="E4" s="11" t="s">
        <v>7</v>
      </c>
      <c r="G4" s="11" t="s">
        <v>6</v>
      </c>
      <c r="H4" s="11" t="s">
        <v>7</v>
      </c>
      <c r="J4" s="11" t="s">
        <v>6</v>
      </c>
      <c r="K4" s="11" t="s">
        <v>7</v>
      </c>
    </row>
    <row r="5" spans="1:11">
      <c r="A5" s="7">
        <v>41669</v>
      </c>
      <c r="B5" s="12">
        <f>[1]!WSD(B2,B4:B4,"2014-01-01","","Per=M","TradingCalendar=SSE","rptType=1","ShowParams=Y","cols=1;rows=137")</f>
        <v>0</v>
      </c>
      <c r="D5" s="7">
        <v>41669</v>
      </c>
      <c r="E5" s="12">
        <f>[1]!WSD(E2,E4:E4,"2014-01-01","","Per=M","TradingCalendar=SSE","rptType=1","ShowParams=Y","cols=1;rows=137")</f>
        <v>0</v>
      </c>
      <c r="G5" s="7">
        <v>41669</v>
      </c>
      <c r="H5" s="12">
        <f>[1]!WSD(H2,H4:H4,"2014-01-01","","Per=M","TradingCalendar=SSE","rptType=1","ShowParams=Y","cols=1;rows=137")</f>
        <v>0</v>
      </c>
      <c r="J5" s="7">
        <v>41669</v>
      </c>
      <c r="K5" s="12">
        <f>[1]!WSD(K2,K4:K4,"2014-01-01","","Per=M","TradingCalendar=SSE","rptType=1","ShowParams=Y","cols=1;rows=137")</f>
        <v>0</v>
      </c>
    </row>
    <row r="6" spans="1:11">
      <c r="A6" s="7">
        <v>41698</v>
      </c>
      <c r="B6" s="12">
        <v>5233.99</v>
      </c>
      <c r="D6" s="7">
        <v>41698</v>
      </c>
      <c r="E6" s="12">
        <v>2.621</v>
      </c>
      <c r="G6" s="7">
        <v>41698</v>
      </c>
      <c r="H6" s="12">
        <v>22836.96</v>
      </c>
      <c r="J6" s="7">
        <v>41698</v>
      </c>
      <c r="K6" s="12">
        <v>1859.45</v>
      </c>
    </row>
    <row r="7" spans="1:11">
      <c r="A7" s="7">
        <v>41729</v>
      </c>
      <c r="B7" s="12">
        <v>5236.16</v>
      </c>
      <c r="D7" s="7">
        <v>41729</v>
      </c>
      <c r="E7" s="12">
        <v>2.573</v>
      </c>
      <c r="G7" s="7">
        <v>41729</v>
      </c>
      <c r="H7" s="12">
        <v>22151.06</v>
      </c>
      <c r="J7" s="7">
        <v>41729</v>
      </c>
      <c r="K7" s="12">
        <v>1872.34</v>
      </c>
    </row>
    <row r="8" spans="1:11">
      <c r="A8" s="7">
        <v>41759</v>
      </c>
      <c r="B8" s="12">
        <v>5250.6</v>
      </c>
      <c r="D8" s="7">
        <v>41759</v>
      </c>
      <c r="E8" s="12">
        <v>2.612</v>
      </c>
      <c r="G8" s="7">
        <v>41759</v>
      </c>
      <c r="H8" s="12">
        <v>22133.97</v>
      </c>
      <c r="J8" s="7">
        <v>41759</v>
      </c>
      <c r="K8" s="12">
        <v>1883.95</v>
      </c>
    </row>
    <row r="9" spans="1:11">
      <c r="A9" s="7">
        <v>41789</v>
      </c>
      <c r="B9" s="12">
        <v>5477.47</v>
      </c>
      <c r="D9" s="7">
        <v>41789</v>
      </c>
      <c r="E9" s="12">
        <v>2.535</v>
      </c>
      <c r="G9" s="7">
        <v>41789</v>
      </c>
      <c r="H9" s="12">
        <v>23081.65</v>
      </c>
      <c r="J9" s="7">
        <v>41789</v>
      </c>
      <c r="K9" s="12">
        <v>1923.57</v>
      </c>
    </row>
    <row r="10" spans="1:11">
      <c r="A10" s="7">
        <v>41820</v>
      </c>
      <c r="B10" s="12">
        <v>5468.33</v>
      </c>
      <c r="D10" s="7">
        <v>41820</v>
      </c>
      <c r="E10" s="12">
        <v>2.629</v>
      </c>
      <c r="G10" s="7">
        <v>41820</v>
      </c>
      <c r="H10" s="12">
        <v>23190.72</v>
      </c>
      <c r="J10" s="7">
        <v>41820</v>
      </c>
      <c r="K10" s="12">
        <v>1960.23</v>
      </c>
    </row>
    <row r="11" spans="1:11">
      <c r="A11" s="7">
        <v>41851</v>
      </c>
      <c r="B11" s="12">
        <v>5700.62</v>
      </c>
      <c r="D11" s="7">
        <v>41851</v>
      </c>
      <c r="E11" s="12">
        <v>2.577</v>
      </c>
      <c r="G11" s="7">
        <v>41851</v>
      </c>
      <c r="H11" s="12">
        <v>24756.85</v>
      </c>
      <c r="J11" s="7">
        <v>41851</v>
      </c>
      <c r="K11" s="12">
        <v>1930.67</v>
      </c>
    </row>
    <row r="12" spans="1:11">
      <c r="A12" s="7">
        <v>41880</v>
      </c>
      <c r="B12" s="12">
        <v>5746.19</v>
      </c>
      <c r="D12" s="7">
        <v>41880</v>
      </c>
      <c r="E12" s="12">
        <v>2.554</v>
      </c>
      <c r="G12" s="7">
        <v>41880</v>
      </c>
      <c r="H12" s="12">
        <v>24742.06</v>
      </c>
      <c r="J12" s="7">
        <v>41880</v>
      </c>
      <c r="K12" s="12">
        <v>2003.37</v>
      </c>
    </row>
    <row r="13" spans="1:11">
      <c r="A13" s="7">
        <v>41912</v>
      </c>
      <c r="B13" s="12">
        <v>5487.86</v>
      </c>
      <c r="D13" s="7">
        <v>41912</v>
      </c>
      <c r="E13" s="12">
        <v>2.429</v>
      </c>
      <c r="G13" s="7">
        <v>41912</v>
      </c>
      <c r="H13" s="12">
        <v>22932.98</v>
      </c>
      <c r="J13" s="7">
        <v>41912</v>
      </c>
      <c r="K13" s="12">
        <v>1972.29</v>
      </c>
    </row>
    <row r="14" spans="1:11">
      <c r="A14" s="7">
        <v>41943</v>
      </c>
      <c r="B14" s="12">
        <v>5613.9</v>
      </c>
      <c r="D14" s="7">
        <v>41943</v>
      </c>
      <c r="E14" s="12">
        <v>2.349</v>
      </c>
      <c r="G14" s="7">
        <v>41943</v>
      </c>
      <c r="H14" s="12">
        <v>23998.06</v>
      </c>
      <c r="J14" s="7">
        <v>41943</v>
      </c>
      <c r="K14" s="12">
        <v>2018.05</v>
      </c>
    </row>
    <row r="15" spans="1:11">
      <c r="A15" s="7">
        <v>41971</v>
      </c>
      <c r="B15" s="12">
        <v>5912.57</v>
      </c>
      <c r="D15" s="7">
        <v>41971</v>
      </c>
      <c r="E15" s="12">
        <v>2.353</v>
      </c>
      <c r="G15" s="7">
        <v>41971</v>
      </c>
      <c r="H15" s="12">
        <v>23987.45</v>
      </c>
      <c r="J15" s="7">
        <v>41971</v>
      </c>
      <c r="K15" s="12">
        <v>2067.56</v>
      </c>
    </row>
    <row r="16" spans="1:11">
      <c r="A16" s="7">
        <v>42004</v>
      </c>
      <c r="B16" s="12">
        <v>5868.97</v>
      </c>
      <c r="D16" s="7">
        <v>42004</v>
      </c>
      <c r="E16" s="12">
        <v>2.412</v>
      </c>
      <c r="G16" s="7">
        <v>42004</v>
      </c>
      <c r="H16" s="12">
        <v>23605.04</v>
      </c>
      <c r="J16" s="7">
        <v>42004</v>
      </c>
      <c r="K16" s="12">
        <v>2058.9</v>
      </c>
    </row>
    <row r="17" spans="1:11">
      <c r="A17" s="7">
        <v>42034</v>
      </c>
      <c r="B17" s="12">
        <v>6234.37</v>
      </c>
      <c r="D17" s="7">
        <v>42034</v>
      </c>
      <c r="E17" s="12">
        <v>2.542</v>
      </c>
      <c r="G17" s="7">
        <v>42034</v>
      </c>
      <c r="H17" s="12">
        <v>24507.05</v>
      </c>
      <c r="J17" s="7">
        <v>42034</v>
      </c>
      <c r="K17" s="12">
        <v>1994.99</v>
      </c>
    </row>
    <row r="18" spans="1:11">
      <c r="A18" s="7">
        <v>42062</v>
      </c>
      <c r="B18" s="12">
        <v>6305.63</v>
      </c>
      <c r="D18" s="7">
        <v>42062</v>
      </c>
      <c r="E18" s="12">
        <v>2.465</v>
      </c>
      <c r="G18" s="7">
        <v>42062</v>
      </c>
      <c r="H18" s="12">
        <v>24823.29</v>
      </c>
      <c r="J18" s="7">
        <v>42062</v>
      </c>
      <c r="K18" s="12">
        <v>2104.5</v>
      </c>
    </row>
    <row r="19" spans="1:11">
      <c r="A19" s="7">
        <v>42094</v>
      </c>
      <c r="B19" s="12">
        <v>6095.2</v>
      </c>
      <c r="D19" s="7">
        <v>42094</v>
      </c>
      <c r="E19" s="12">
        <v>2.366</v>
      </c>
      <c r="G19" s="7">
        <v>42094</v>
      </c>
      <c r="H19" s="12">
        <v>24900.89</v>
      </c>
      <c r="J19" s="7">
        <v>42094</v>
      </c>
      <c r="K19" s="12">
        <v>2067.89</v>
      </c>
    </row>
    <row r="20" spans="1:11">
      <c r="A20" s="7">
        <v>42124</v>
      </c>
      <c r="B20" s="12">
        <v>6256.56</v>
      </c>
      <c r="D20" s="7">
        <v>42124</v>
      </c>
      <c r="E20" s="12">
        <v>2.409</v>
      </c>
      <c r="G20" s="7">
        <v>42124</v>
      </c>
      <c r="H20" s="12">
        <v>28133</v>
      </c>
      <c r="J20" s="7">
        <v>42124</v>
      </c>
      <c r="K20" s="12">
        <v>2085.51</v>
      </c>
    </row>
    <row r="21" spans="1:11">
      <c r="A21" s="7">
        <v>42153</v>
      </c>
      <c r="B21" s="12">
        <v>6211.83</v>
      </c>
      <c r="D21" s="7">
        <v>42153</v>
      </c>
      <c r="E21" s="12">
        <v>2.381</v>
      </c>
      <c r="G21" s="7">
        <v>42153</v>
      </c>
      <c r="H21" s="12">
        <v>27424.19</v>
      </c>
      <c r="J21" s="7">
        <v>42153</v>
      </c>
      <c r="K21" s="12">
        <v>2107.39</v>
      </c>
    </row>
    <row r="22" spans="1:11">
      <c r="A22" s="7">
        <v>42185</v>
      </c>
      <c r="B22" s="12">
        <v>6152.16</v>
      </c>
      <c r="D22" s="7">
        <v>42185</v>
      </c>
      <c r="E22" s="12">
        <v>2.346</v>
      </c>
      <c r="G22" s="7">
        <v>42185</v>
      </c>
      <c r="H22" s="12">
        <v>26250.03</v>
      </c>
      <c r="J22" s="7">
        <v>42185</v>
      </c>
      <c r="K22" s="12">
        <v>2063.11</v>
      </c>
    </row>
    <row r="23" spans="1:11">
      <c r="A23" s="7">
        <v>42216</v>
      </c>
      <c r="B23" s="12">
        <v>6306.02</v>
      </c>
      <c r="D23" s="7">
        <v>42216</v>
      </c>
      <c r="E23" s="12">
        <v>2.167</v>
      </c>
      <c r="G23" s="7">
        <v>42216</v>
      </c>
      <c r="H23" s="12">
        <v>24636.28</v>
      </c>
      <c r="J23" s="7">
        <v>42216</v>
      </c>
      <c r="K23" s="12">
        <v>2103.84</v>
      </c>
    </row>
    <row r="24" spans="1:11">
      <c r="A24" s="7">
        <v>42247</v>
      </c>
      <c r="B24" s="12">
        <v>5720.62</v>
      </c>
      <c r="D24" s="7">
        <v>42247</v>
      </c>
      <c r="E24" s="12">
        <v>2.339</v>
      </c>
      <c r="G24" s="7">
        <v>42247</v>
      </c>
      <c r="H24" s="12">
        <v>21670.58</v>
      </c>
      <c r="J24" s="7">
        <v>42247</v>
      </c>
      <c r="K24" s="12">
        <v>1972.18</v>
      </c>
    </row>
    <row r="25" spans="1:11">
      <c r="A25" s="7">
        <v>42277</v>
      </c>
      <c r="B25" s="12">
        <v>5658.97</v>
      </c>
      <c r="D25" s="7">
        <v>42277</v>
      </c>
      <c r="E25" s="12">
        <v>2.314</v>
      </c>
      <c r="G25" s="7">
        <v>42277</v>
      </c>
      <c r="H25" s="12">
        <v>20846.3</v>
      </c>
      <c r="J25" s="7">
        <v>42277</v>
      </c>
      <c r="K25" s="12">
        <v>1920.03</v>
      </c>
    </row>
    <row r="26" spans="1:11">
      <c r="A26" s="7">
        <v>42307</v>
      </c>
      <c r="B26" s="12">
        <v>6012.52</v>
      </c>
      <c r="D26" s="7">
        <v>42307</v>
      </c>
      <c r="E26" s="12">
        <v>2.351</v>
      </c>
      <c r="G26" s="7">
        <v>42307</v>
      </c>
      <c r="H26" s="12">
        <v>22640.04</v>
      </c>
      <c r="J26" s="7">
        <v>42307</v>
      </c>
      <c r="K26" s="12">
        <v>2079.36</v>
      </c>
    </row>
    <row r="27" spans="1:11">
      <c r="A27" s="7">
        <v>42338</v>
      </c>
      <c r="B27" s="12">
        <v>5943.71</v>
      </c>
      <c r="D27" s="7">
        <v>42338</v>
      </c>
      <c r="E27" s="12">
        <v>2.183</v>
      </c>
      <c r="G27" s="7">
        <v>42338</v>
      </c>
      <c r="H27" s="12">
        <v>21996.42</v>
      </c>
      <c r="J27" s="7">
        <v>42338</v>
      </c>
      <c r="K27" s="12">
        <v>2080.41</v>
      </c>
    </row>
    <row r="28" spans="1:11">
      <c r="A28" s="7">
        <v>42369</v>
      </c>
      <c r="B28" s="12">
        <v>5909.7</v>
      </c>
      <c r="D28" s="7">
        <v>42369</v>
      </c>
      <c r="E28" s="12">
        <v>2.232</v>
      </c>
      <c r="G28" s="7">
        <v>42369</v>
      </c>
      <c r="H28" s="12">
        <v>21914.4</v>
      </c>
      <c r="J28" s="7">
        <v>42369</v>
      </c>
      <c r="K28" s="12">
        <v>2043.94</v>
      </c>
    </row>
    <row r="29" spans="1:11">
      <c r="A29" s="7">
        <v>42398</v>
      </c>
      <c r="B29" s="12">
        <v>5608.89</v>
      </c>
      <c r="D29" s="7">
        <v>42398</v>
      </c>
      <c r="E29" s="12">
        <v>2.363</v>
      </c>
      <c r="G29" s="7">
        <v>42398</v>
      </c>
      <c r="H29" s="12">
        <v>19683.11</v>
      </c>
      <c r="J29" s="7">
        <v>42398</v>
      </c>
      <c r="K29" s="12">
        <v>1940.24</v>
      </c>
    </row>
    <row r="30" spans="1:11">
      <c r="A30" s="7">
        <v>42429</v>
      </c>
      <c r="B30" s="12">
        <v>5813.3</v>
      </c>
      <c r="D30" s="7">
        <v>42429</v>
      </c>
      <c r="E30" s="12">
        <v>2.587</v>
      </c>
      <c r="G30" s="7">
        <v>42429</v>
      </c>
      <c r="H30" s="12">
        <v>19111.93</v>
      </c>
      <c r="J30" s="7">
        <v>42429</v>
      </c>
      <c r="K30" s="12">
        <v>1932.23</v>
      </c>
    </row>
    <row r="31" spans="1:11">
      <c r="A31" s="7">
        <v>42460</v>
      </c>
      <c r="B31" s="12">
        <v>5999.77</v>
      </c>
      <c r="D31" s="7">
        <v>42460</v>
      </c>
      <c r="E31" s="12">
        <v>2.548</v>
      </c>
      <c r="G31" s="7">
        <v>42460</v>
      </c>
      <c r="H31" s="12">
        <v>20776.7</v>
      </c>
      <c r="J31" s="7">
        <v>42460</v>
      </c>
      <c r="K31" s="12">
        <v>2059.74</v>
      </c>
    </row>
    <row r="32" spans="1:11">
      <c r="A32" s="7">
        <v>42489</v>
      </c>
      <c r="B32" s="12">
        <v>6134.97</v>
      </c>
      <c r="D32" s="7">
        <v>42489</v>
      </c>
      <c r="E32" s="12">
        <v>2.66</v>
      </c>
      <c r="G32" s="7">
        <v>42489</v>
      </c>
      <c r="H32" s="12">
        <v>21067.05</v>
      </c>
      <c r="J32" s="7">
        <v>42489</v>
      </c>
      <c r="K32" s="12">
        <v>2065.3</v>
      </c>
    </row>
    <row r="33" spans="1:11">
      <c r="A33" s="7">
        <v>42521</v>
      </c>
      <c r="B33" s="12">
        <v>6094.33</v>
      </c>
      <c r="D33" s="7">
        <v>42521</v>
      </c>
      <c r="E33" s="12">
        <v>2.576</v>
      </c>
      <c r="G33" s="7">
        <v>42521</v>
      </c>
      <c r="H33" s="12">
        <v>20815.09</v>
      </c>
      <c r="J33" s="7">
        <v>42521</v>
      </c>
      <c r="K33" s="12">
        <v>2096.96</v>
      </c>
    </row>
    <row r="34" spans="1:11">
      <c r="A34" s="7">
        <v>42551</v>
      </c>
      <c r="B34" s="12">
        <v>6431.32</v>
      </c>
      <c r="D34" s="7">
        <v>42551</v>
      </c>
      <c r="E34" s="12">
        <v>2.818</v>
      </c>
      <c r="G34" s="7">
        <v>42551</v>
      </c>
      <c r="H34" s="12">
        <v>20794.37</v>
      </c>
      <c r="J34" s="7">
        <v>42551</v>
      </c>
      <c r="K34" s="12">
        <v>2098.86</v>
      </c>
    </row>
    <row r="35" spans="1:11">
      <c r="A35" s="7">
        <v>42580</v>
      </c>
      <c r="B35" s="12">
        <v>6856.53</v>
      </c>
      <c r="D35" s="7">
        <v>42580</v>
      </c>
      <c r="E35" s="12">
        <v>2.859</v>
      </c>
      <c r="G35" s="7">
        <v>42580</v>
      </c>
      <c r="H35" s="12">
        <v>21891.37</v>
      </c>
      <c r="J35" s="7">
        <v>42580</v>
      </c>
      <c r="K35" s="12">
        <v>2173.6</v>
      </c>
    </row>
    <row r="36" spans="1:11">
      <c r="A36" s="7">
        <v>42613</v>
      </c>
      <c r="B36" s="12">
        <v>7025.66</v>
      </c>
      <c r="D36" s="7">
        <v>42613</v>
      </c>
      <c r="E36" s="12">
        <v>2.823</v>
      </c>
      <c r="G36" s="7">
        <v>42613</v>
      </c>
      <c r="H36" s="12">
        <v>22976.88</v>
      </c>
      <c r="J36" s="7">
        <v>42613</v>
      </c>
      <c r="K36" s="12">
        <v>2170.95</v>
      </c>
    </row>
    <row r="37" spans="1:11">
      <c r="A37" s="7">
        <v>42643</v>
      </c>
      <c r="B37" s="12">
        <v>6858.4</v>
      </c>
      <c r="D37" s="7">
        <v>42643</v>
      </c>
      <c r="E37" s="12">
        <v>2.843</v>
      </c>
      <c r="G37" s="7">
        <v>42643</v>
      </c>
      <c r="H37" s="12">
        <v>23297.15</v>
      </c>
      <c r="J37" s="7">
        <v>42643</v>
      </c>
      <c r="K37" s="12">
        <v>2168.27</v>
      </c>
    </row>
    <row r="38" spans="1:11">
      <c r="A38" s="7">
        <v>42674</v>
      </c>
      <c r="B38" s="12">
        <v>6589.24</v>
      </c>
      <c r="D38" s="7">
        <v>42674</v>
      </c>
      <c r="E38" s="12">
        <v>2.788</v>
      </c>
      <c r="G38" s="7">
        <v>42674</v>
      </c>
      <c r="H38" s="12">
        <v>22934.54</v>
      </c>
      <c r="J38" s="7">
        <v>42674</v>
      </c>
      <c r="K38" s="12">
        <v>2126.15</v>
      </c>
    </row>
    <row r="39" spans="1:11">
      <c r="A39" s="7">
        <v>42704</v>
      </c>
      <c r="B39" s="12">
        <v>6457.41</v>
      </c>
      <c r="D39" s="7">
        <v>42704</v>
      </c>
      <c r="E39" s="12">
        <v>2.652</v>
      </c>
      <c r="G39" s="7">
        <v>42704</v>
      </c>
      <c r="H39" s="12">
        <v>22789.77</v>
      </c>
      <c r="J39" s="7">
        <v>42704</v>
      </c>
      <c r="K39" s="12">
        <v>2198.81</v>
      </c>
    </row>
    <row r="40" spans="1:11">
      <c r="A40" s="7">
        <v>42734</v>
      </c>
      <c r="B40" s="12">
        <v>6187.01</v>
      </c>
      <c r="D40" s="7">
        <v>42734</v>
      </c>
      <c r="E40" s="12">
        <v>2.636</v>
      </c>
      <c r="G40" s="7">
        <v>42734</v>
      </c>
      <c r="H40" s="12">
        <v>22000.56</v>
      </c>
      <c r="J40" s="7">
        <v>42734</v>
      </c>
      <c r="K40" s="12">
        <v>2238.83</v>
      </c>
    </row>
    <row r="41" spans="1:11">
      <c r="A41" s="7">
        <v>42761</v>
      </c>
      <c r="B41" s="12">
        <v>6336.08</v>
      </c>
      <c r="D41" s="7">
        <v>42761</v>
      </c>
      <c r="E41" s="12">
        <v>2.641</v>
      </c>
      <c r="G41" s="7">
        <v>42761</v>
      </c>
      <c r="H41" s="12">
        <v>23360.78</v>
      </c>
      <c r="J41" s="7">
        <v>42761</v>
      </c>
      <c r="K41" s="12">
        <v>2278.87</v>
      </c>
    </row>
    <row r="42" spans="1:11">
      <c r="A42" s="7">
        <v>42794</v>
      </c>
      <c r="B42" s="12">
        <v>6452.52</v>
      </c>
      <c r="D42" s="7">
        <v>42794</v>
      </c>
      <c r="E42" s="12">
        <v>2.774</v>
      </c>
      <c r="G42" s="7">
        <v>42794</v>
      </c>
      <c r="H42" s="12">
        <v>23740.73</v>
      </c>
      <c r="J42" s="7">
        <v>42794</v>
      </c>
      <c r="K42" s="12">
        <v>2363.64</v>
      </c>
    </row>
    <row r="43" spans="1:11">
      <c r="A43" s="7">
        <v>42825</v>
      </c>
      <c r="B43" s="12">
        <v>6514.86</v>
      </c>
      <c r="D43" s="7">
        <v>42825</v>
      </c>
      <c r="E43" s="12">
        <v>2.761</v>
      </c>
      <c r="G43" s="7">
        <v>42825</v>
      </c>
      <c r="H43" s="12">
        <v>24111.59</v>
      </c>
      <c r="J43" s="7">
        <v>42825</v>
      </c>
      <c r="K43" s="12">
        <v>2362.72</v>
      </c>
    </row>
    <row r="44" spans="1:11">
      <c r="A44" s="7">
        <v>42853</v>
      </c>
      <c r="B44" s="12">
        <v>6686.99</v>
      </c>
      <c r="D44" s="7">
        <v>42853</v>
      </c>
      <c r="E44" s="12">
        <v>2.812</v>
      </c>
      <c r="G44" s="7">
        <v>42853</v>
      </c>
      <c r="H44" s="12">
        <v>24615.13</v>
      </c>
      <c r="J44" s="7">
        <v>42853</v>
      </c>
      <c r="K44" s="12">
        <v>2384.2</v>
      </c>
    </row>
    <row r="45" spans="1:11">
      <c r="A45" s="7">
        <v>42886</v>
      </c>
      <c r="B45" s="12">
        <v>6937.64</v>
      </c>
      <c r="D45" s="7">
        <v>42886</v>
      </c>
      <c r="E45" s="12">
        <v>2.775</v>
      </c>
      <c r="G45" s="7">
        <v>42886</v>
      </c>
      <c r="H45" s="12">
        <v>25660.65</v>
      </c>
      <c r="J45" s="7">
        <v>42886</v>
      </c>
      <c r="K45" s="12">
        <v>2411.8</v>
      </c>
    </row>
    <row r="46" spans="1:11">
      <c r="A46" s="7">
        <v>42916</v>
      </c>
      <c r="B46" s="12">
        <v>6970.83</v>
      </c>
      <c r="D46" s="7">
        <v>42916</v>
      </c>
      <c r="E46" s="12">
        <v>2.714</v>
      </c>
      <c r="G46" s="7">
        <v>42916</v>
      </c>
      <c r="H46" s="12">
        <v>25764.58</v>
      </c>
      <c r="J46" s="7">
        <v>42916</v>
      </c>
      <c r="K46" s="12">
        <v>2423.41</v>
      </c>
    </row>
    <row r="47" spans="1:11">
      <c r="A47" s="7">
        <v>42947</v>
      </c>
      <c r="B47" s="12">
        <v>7404.29</v>
      </c>
      <c r="D47" s="7">
        <v>42947</v>
      </c>
      <c r="E47" s="12">
        <v>2.742</v>
      </c>
      <c r="G47" s="7">
        <v>42947</v>
      </c>
      <c r="H47" s="12">
        <v>27323.99</v>
      </c>
      <c r="J47" s="7">
        <v>42947</v>
      </c>
      <c r="K47" s="12">
        <v>2470.3</v>
      </c>
    </row>
    <row r="48" spans="1:11">
      <c r="A48" s="7">
        <v>42978</v>
      </c>
      <c r="B48" s="12">
        <v>7309.48</v>
      </c>
      <c r="D48" s="7">
        <v>42978</v>
      </c>
      <c r="E48" s="12">
        <v>2.756</v>
      </c>
      <c r="G48" s="7">
        <v>42978</v>
      </c>
      <c r="H48" s="12">
        <v>27970.3</v>
      </c>
      <c r="J48" s="7">
        <v>42978</v>
      </c>
      <c r="K48" s="12">
        <v>2471.65</v>
      </c>
    </row>
    <row r="49" spans="1:11">
      <c r="A49" s="7">
        <v>43007</v>
      </c>
      <c r="B49" s="12">
        <v>7086.66</v>
      </c>
      <c r="D49" s="7">
        <v>43007</v>
      </c>
      <c r="E49" s="12">
        <v>2.742</v>
      </c>
      <c r="G49" s="7">
        <v>43007</v>
      </c>
      <c r="H49" s="12">
        <v>27554.3</v>
      </c>
      <c r="J49" s="7">
        <v>43007</v>
      </c>
      <c r="K49" s="12">
        <v>2519.36</v>
      </c>
    </row>
    <row r="50" spans="1:11">
      <c r="A50" s="7">
        <v>43039</v>
      </c>
      <c r="B50" s="12">
        <v>7238.35</v>
      </c>
      <c r="D50" s="7">
        <v>43039</v>
      </c>
      <c r="E50" s="12">
        <v>2.718</v>
      </c>
      <c r="G50" s="7">
        <v>43039</v>
      </c>
      <c r="H50" s="12">
        <v>28245.54</v>
      </c>
      <c r="J50" s="7">
        <v>43039</v>
      </c>
      <c r="K50" s="12">
        <v>2575.26</v>
      </c>
    </row>
    <row r="51" spans="1:11">
      <c r="A51" s="7">
        <v>43069</v>
      </c>
      <c r="B51" s="12">
        <v>7448.04</v>
      </c>
      <c r="D51" s="7">
        <v>43069</v>
      </c>
      <c r="E51" s="12">
        <v>2.72</v>
      </c>
      <c r="G51" s="7">
        <v>43069</v>
      </c>
      <c r="H51" s="12">
        <v>29177.35</v>
      </c>
      <c r="J51" s="7">
        <v>43069</v>
      </c>
      <c r="K51" s="12">
        <v>2647.58</v>
      </c>
    </row>
    <row r="52" spans="1:11">
      <c r="A52" s="7">
        <v>43098</v>
      </c>
      <c r="B52" s="12">
        <v>7511.6</v>
      </c>
      <c r="D52" s="7">
        <v>43098</v>
      </c>
      <c r="E52" s="12">
        <v>2.708</v>
      </c>
      <c r="G52" s="7">
        <v>43098</v>
      </c>
      <c r="H52" s="12">
        <v>29919.15</v>
      </c>
      <c r="J52" s="7">
        <v>43098</v>
      </c>
      <c r="K52" s="12">
        <v>2673.61</v>
      </c>
    </row>
    <row r="53" spans="1:11">
      <c r="A53" s="7">
        <v>43131</v>
      </c>
      <c r="B53" s="12">
        <v>7607.83</v>
      </c>
      <c r="D53" s="7">
        <v>43131</v>
      </c>
      <c r="E53" s="12">
        <v>2.735</v>
      </c>
      <c r="G53" s="7">
        <v>43131</v>
      </c>
      <c r="H53" s="12">
        <v>32887.27</v>
      </c>
      <c r="J53" s="7">
        <v>43131</v>
      </c>
      <c r="K53" s="12">
        <v>2823.81</v>
      </c>
    </row>
    <row r="54" spans="1:11">
      <c r="A54" s="7">
        <v>43159</v>
      </c>
      <c r="B54" s="12">
        <v>7446.81</v>
      </c>
      <c r="D54" s="7">
        <v>43159</v>
      </c>
      <c r="E54" s="12">
        <v>2.692</v>
      </c>
      <c r="G54" s="7">
        <v>43159</v>
      </c>
      <c r="H54" s="12">
        <v>30844.72</v>
      </c>
      <c r="J54" s="7">
        <v>43159</v>
      </c>
      <c r="K54" s="12">
        <v>2713.83</v>
      </c>
    </row>
    <row r="55" spans="1:11">
      <c r="A55" s="7">
        <v>43189</v>
      </c>
      <c r="B55" s="12">
        <v>7466.76</v>
      </c>
      <c r="D55" s="7">
        <v>43189</v>
      </c>
      <c r="E55" s="12">
        <v>2.692</v>
      </c>
      <c r="G55" s="7">
        <v>43189</v>
      </c>
      <c r="H55" s="12">
        <v>30093.38</v>
      </c>
      <c r="J55" s="7">
        <v>43189</v>
      </c>
      <c r="K55" s="12">
        <v>2640.87</v>
      </c>
    </row>
    <row r="56" spans="1:11">
      <c r="A56" s="7">
        <v>43217</v>
      </c>
      <c r="B56" s="12">
        <v>7421.38</v>
      </c>
      <c r="D56" s="7">
        <v>43217</v>
      </c>
      <c r="E56" s="12">
        <v>2.692</v>
      </c>
      <c r="G56" s="7">
        <v>43217</v>
      </c>
      <c r="H56" s="12">
        <v>30808.45</v>
      </c>
      <c r="J56" s="7">
        <v>43217</v>
      </c>
      <c r="K56" s="12">
        <v>2648.05</v>
      </c>
    </row>
    <row r="57" spans="1:11">
      <c r="A57" s="7">
        <v>43251</v>
      </c>
      <c r="B57" s="12">
        <v>7523.91</v>
      </c>
      <c r="D57" s="7">
        <v>43251</v>
      </c>
      <c r="E57" s="12">
        <v>2.686</v>
      </c>
      <c r="G57" s="7">
        <v>43251</v>
      </c>
      <c r="H57" s="12">
        <v>30468.56</v>
      </c>
      <c r="J57" s="7">
        <v>43251</v>
      </c>
      <c r="K57" s="12">
        <v>2705.27</v>
      </c>
    </row>
    <row r="58" spans="1:11">
      <c r="A58" s="7">
        <v>43280</v>
      </c>
      <c r="B58" s="12">
        <v>7346.08</v>
      </c>
      <c r="D58" s="7">
        <v>43280</v>
      </c>
      <c r="E58" s="12">
        <v>2.661</v>
      </c>
      <c r="G58" s="7">
        <v>43280</v>
      </c>
      <c r="H58" s="12">
        <v>28955.11</v>
      </c>
      <c r="J58" s="7">
        <v>43280</v>
      </c>
      <c r="K58" s="12">
        <v>2718.37</v>
      </c>
    </row>
    <row r="59" spans="1:11">
      <c r="A59" s="7">
        <v>43312</v>
      </c>
      <c r="B59" s="12">
        <v>7577.97</v>
      </c>
      <c r="D59" s="7">
        <v>43312</v>
      </c>
      <c r="E59" s="12">
        <v>2.673</v>
      </c>
      <c r="G59" s="7">
        <v>43312</v>
      </c>
      <c r="H59" s="12">
        <v>28583.01</v>
      </c>
      <c r="J59" s="7">
        <v>43312</v>
      </c>
      <c r="K59" s="12">
        <v>2816.29</v>
      </c>
    </row>
    <row r="60" spans="1:11">
      <c r="A60" s="7">
        <v>43343</v>
      </c>
      <c r="B60" s="12">
        <v>7580.52</v>
      </c>
      <c r="D60" s="7">
        <v>43343</v>
      </c>
      <c r="E60" s="12">
        <v>2.646</v>
      </c>
      <c r="G60" s="7">
        <v>43343</v>
      </c>
      <c r="H60" s="12">
        <v>27888.55</v>
      </c>
      <c r="J60" s="7">
        <v>43343</v>
      </c>
      <c r="K60" s="12">
        <v>2901.52</v>
      </c>
    </row>
    <row r="61" spans="1:11">
      <c r="A61" s="7">
        <v>43371</v>
      </c>
      <c r="B61" s="12">
        <v>7413.43</v>
      </c>
      <c r="D61" s="7">
        <v>43371</v>
      </c>
      <c r="E61" s="12">
        <v>2.623</v>
      </c>
      <c r="G61" s="7">
        <v>43371</v>
      </c>
      <c r="H61" s="12">
        <v>27788.52</v>
      </c>
      <c r="J61" s="7">
        <v>43371</v>
      </c>
      <c r="K61" s="12">
        <v>2913.98</v>
      </c>
    </row>
    <row r="62" spans="1:11">
      <c r="A62" s="7">
        <v>43404</v>
      </c>
      <c r="B62" s="12">
        <v>6973.63</v>
      </c>
      <c r="D62" s="7">
        <v>43404</v>
      </c>
      <c r="E62" s="12">
        <v>2.724</v>
      </c>
      <c r="G62" s="7">
        <v>43404</v>
      </c>
      <c r="H62" s="12">
        <v>24979.69</v>
      </c>
      <c r="J62" s="7">
        <v>43404</v>
      </c>
      <c r="K62" s="12">
        <v>2711.74</v>
      </c>
    </row>
    <row r="63" spans="1:11">
      <c r="A63" s="7">
        <v>43434</v>
      </c>
      <c r="B63" s="12">
        <v>7195.99</v>
      </c>
      <c r="D63" s="7">
        <v>43434</v>
      </c>
      <c r="E63" s="12">
        <v>2.732</v>
      </c>
      <c r="G63" s="7">
        <v>43434</v>
      </c>
      <c r="H63" s="12">
        <v>26506.75</v>
      </c>
      <c r="J63" s="7">
        <v>43434</v>
      </c>
      <c r="K63" s="12">
        <v>2760.17</v>
      </c>
    </row>
    <row r="64" spans="1:11">
      <c r="A64" s="7">
        <v>43462</v>
      </c>
      <c r="B64" s="12">
        <v>7292.94</v>
      </c>
      <c r="D64" s="7">
        <v>43462</v>
      </c>
      <c r="E64" s="12">
        <v>2.826</v>
      </c>
      <c r="G64" s="7">
        <v>43462</v>
      </c>
      <c r="H64" s="12">
        <v>25845.7</v>
      </c>
      <c r="J64" s="7">
        <v>43462</v>
      </c>
      <c r="K64" s="12">
        <v>2506.85</v>
      </c>
    </row>
    <row r="65" spans="1:11">
      <c r="A65" s="7">
        <v>43496</v>
      </c>
      <c r="B65" s="12">
        <v>7882.88</v>
      </c>
      <c r="D65" s="7">
        <v>43496</v>
      </c>
      <c r="E65" s="12">
        <v>2.837</v>
      </c>
      <c r="G65" s="7">
        <v>43496</v>
      </c>
      <c r="H65" s="12">
        <v>27942.47</v>
      </c>
      <c r="J65" s="7">
        <v>43496</v>
      </c>
      <c r="K65" s="12">
        <v>2704.1</v>
      </c>
    </row>
    <row r="66" spans="1:11">
      <c r="A66" s="7">
        <v>43524</v>
      </c>
      <c r="B66" s="12">
        <v>8065.22</v>
      </c>
      <c r="D66" s="7">
        <v>43524</v>
      </c>
      <c r="E66" s="12">
        <v>2.833</v>
      </c>
      <c r="G66" s="7">
        <v>43524</v>
      </c>
      <c r="H66" s="12">
        <v>28633.18</v>
      </c>
      <c r="J66" s="7">
        <v>43524</v>
      </c>
      <c r="K66" s="12">
        <v>2784.49</v>
      </c>
    </row>
    <row r="67" spans="1:11">
      <c r="A67" s="7">
        <v>43553</v>
      </c>
      <c r="B67" s="12">
        <v>8366.9</v>
      </c>
      <c r="D67" s="7">
        <v>43553</v>
      </c>
      <c r="E67" s="12">
        <v>2.788</v>
      </c>
      <c r="G67" s="7">
        <v>43553</v>
      </c>
      <c r="H67" s="12">
        <v>29051.36</v>
      </c>
      <c r="J67" s="7">
        <v>43553</v>
      </c>
      <c r="K67" s="12">
        <v>2834.4</v>
      </c>
    </row>
    <row r="68" spans="1:11">
      <c r="A68" s="7">
        <v>43585</v>
      </c>
      <c r="B68" s="12">
        <v>8236.46</v>
      </c>
      <c r="D68" s="7">
        <v>43585</v>
      </c>
      <c r="E68" s="12">
        <v>2.777</v>
      </c>
      <c r="G68" s="7">
        <v>43585</v>
      </c>
      <c r="H68" s="12">
        <v>29699.11</v>
      </c>
      <c r="J68" s="7">
        <v>43585</v>
      </c>
      <c r="K68" s="12">
        <v>2945.83</v>
      </c>
    </row>
    <row r="69" spans="1:11">
      <c r="A69" s="7">
        <v>43616</v>
      </c>
      <c r="B69" s="12">
        <v>8150.23</v>
      </c>
      <c r="D69" s="7">
        <v>43616</v>
      </c>
      <c r="E69" s="12">
        <v>2.878</v>
      </c>
      <c r="G69" s="7">
        <v>43616</v>
      </c>
      <c r="H69" s="12">
        <v>26901.09</v>
      </c>
      <c r="J69" s="7">
        <v>43616</v>
      </c>
      <c r="K69" s="12">
        <v>2752.06</v>
      </c>
    </row>
    <row r="70" spans="1:11">
      <c r="A70" s="7">
        <v>43644</v>
      </c>
      <c r="B70" s="12">
        <v>8403.99</v>
      </c>
      <c r="D70" s="7">
        <v>43644</v>
      </c>
      <c r="E70" s="12">
        <v>3.109</v>
      </c>
      <c r="G70" s="7">
        <v>43644</v>
      </c>
      <c r="H70" s="12">
        <v>28542.62</v>
      </c>
      <c r="J70" s="7">
        <v>43644</v>
      </c>
      <c r="K70" s="12">
        <v>2941.76</v>
      </c>
    </row>
    <row r="71" spans="1:11">
      <c r="A71" s="7">
        <v>43677</v>
      </c>
      <c r="B71" s="12">
        <v>8088.78</v>
      </c>
      <c r="D71" s="7">
        <v>43677</v>
      </c>
      <c r="E71" s="12">
        <v>3.164</v>
      </c>
      <c r="G71" s="7">
        <v>43677</v>
      </c>
      <c r="H71" s="12">
        <v>27777.75</v>
      </c>
      <c r="J71" s="7">
        <v>43677</v>
      </c>
      <c r="K71" s="12">
        <v>2980.38</v>
      </c>
    </row>
    <row r="72" spans="1:11">
      <c r="A72" s="7">
        <v>43707</v>
      </c>
      <c r="B72" s="12">
        <v>7446.67</v>
      </c>
      <c r="D72" s="7">
        <v>43707</v>
      </c>
      <c r="E72" s="12">
        <v>3.508</v>
      </c>
      <c r="G72" s="7">
        <v>43707</v>
      </c>
      <c r="H72" s="12">
        <v>25724.73</v>
      </c>
      <c r="J72" s="7">
        <v>43707</v>
      </c>
      <c r="K72" s="12">
        <v>2926.46</v>
      </c>
    </row>
    <row r="73" spans="1:11">
      <c r="A73" s="7">
        <v>43738</v>
      </c>
      <c r="B73" s="12">
        <v>7335.19</v>
      </c>
      <c r="D73" s="7">
        <v>43738</v>
      </c>
      <c r="E73" s="12">
        <v>3.396</v>
      </c>
      <c r="G73" s="7">
        <v>43738</v>
      </c>
      <c r="H73" s="12">
        <v>26092.27</v>
      </c>
      <c r="J73" s="7">
        <v>43738</v>
      </c>
      <c r="K73" s="12">
        <v>2976.74</v>
      </c>
    </row>
    <row r="74" spans="1:11">
      <c r="A74" s="7">
        <v>43769</v>
      </c>
      <c r="B74" s="12">
        <v>7487.64</v>
      </c>
      <c r="D74" s="7">
        <v>43769</v>
      </c>
      <c r="E74" s="12">
        <v>3.363</v>
      </c>
      <c r="G74" s="7">
        <v>43769</v>
      </c>
      <c r="H74" s="12">
        <v>26906.72</v>
      </c>
      <c r="J74" s="7">
        <v>43769</v>
      </c>
      <c r="K74" s="12">
        <v>3037.56</v>
      </c>
    </row>
    <row r="75" spans="1:11">
      <c r="A75" s="7">
        <v>43798</v>
      </c>
      <c r="B75" s="12">
        <v>7272.19</v>
      </c>
      <c r="D75" s="7">
        <v>43798</v>
      </c>
      <c r="E75" s="12">
        <v>3.265</v>
      </c>
      <c r="G75" s="7">
        <v>43798</v>
      </c>
      <c r="H75" s="12">
        <v>26346.49</v>
      </c>
      <c r="J75" s="7">
        <v>43798</v>
      </c>
      <c r="K75" s="12">
        <v>3140.98</v>
      </c>
    </row>
    <row r="76" spans="1:11">
      <c r="A76" s="7">
        <v>43830</v>
      </c>
      <c r="B76" s="12">
        <v>7390.41</v>
      </c>
      <c r="D76" s="7">
        <v>43830</v>
      </c>
      <c r="E76" s="12">
        <v>3.384</v>
      </c>
      <c r="G76" s="7">
        <v>43830</v>
      </c>
      <c r="H76" s="12">
        <v>28189.75</v>
      </c>
      <c r="J76" s="7">
        <v>43830</v>
      </c>
      <c r="K76" s="12">
        <v>3230.78</v>
      </c>
    </row>
    <row r="77" spans="1:11">
      <c r="A77" s="7">
        <v>43853</v>
      </c>
      <c r="B77" s="12">
        <v>7102.14</v>
      </c>
      <c r="D77" s="7">
        <v>43853</v>
      </c>
      <c r="E77" s="12">
        <v>3.43</v>
      </c>
      <c r="G77" s="7">
        <v>43853</v>
      </c>
      <c r="H77" s="12">
        <v>26312.63</v>
      </c>
      <c r="J77" s="7">
        <v>43853</v>
      </c>
      <c r="K77" s="12">
        <v>3225.52</v>
      </c>
    </row>
    <row r="78" spans="1:11">
      <c r="A78" s="7">
        <v>43889</v>
      </c>
      <c r="B78" s="12">
        <v>6760.13</v>
      </c>
      <c r="D78" s="7">
        <v>43889</v>
      </c>
      <c r="E78" s="12">
        <v>3.623</v>
      </c>
      <c r="G78" s="7">
        <v>43889</v>
      </c>
      <c r="H78" s="12">
        <v>26129.93</v>
      </c>
      <c r="J78" s="7">
        <v>43889</v>
      </c>
      <c r="K78" s="12">
        <v>2954.22</v>
      </c>
    </row>
    <row r="79" spans="1:11">
      <c r="A79" s="7">
        <v>43921</v>
      </c>
      <c r="B79" s="12">
        <v>5939.02</v>
      </c>
      <c r="D79" s="7">
        <v>43921</v>
      </c>
      <c r="E79" s="12">
        <v>3.586</v>
      </c>
      <c r="G79" s="7">
        <v>43921</v>
      </c>
      <c r="H79" s="12">
        <v>23603.48</v>
      </c>
      <c r="J79" s="7">
        <v>43921</v>
      </c>
      <c r="K79" s="12">
        <v>2584.59</v>
      </c>
    </row>
    <row r="80" spans="1:11">
      <c r="A80" s="7">
        <v>43951</v>
      </c>
      <c r="B80" s="12">
        <v>6050.33</v>
      </c>
      <c r="D80" s="7">
        <v>43951</v>
      </c>
      <c r="E80" s="12">
        <v>3.746</v>
      </c>
      <c r="G80" s="7">
        <v>43951</v>
      </c>
      <c r="H80" s="12">
        <v>24643.59</v>
      </c>
      <c r="J80" s="7">
        <v>43951</v>
      </c>
      <c r="K80" s="12">
        <v>2912.43</v>
      </c>
    </row>
    <row r="81" spans="1:11">
      <c r="A81" s="7">
        <v>43980</v>
      </c>
      <c r="B81" s="12">
        <v>5254.27</v>
      </c>
      <c r="D81" s="7">
        <v>43980</v>
      </c>
      <c r="E81" s="12">
        <v>3.864</v>
      </c>
      <c r="G81" s="7">
        <v>43980</v>
      </c>
      <c r="H81" s="12">
        <v>22961.47</v>
      </c>
      <c r="J81" s="7">
        <v>43980</v>
      </c>
      <c r="K81" s="12">
        <v>3044.31</v>
      </c>
    </row>
    <row r="82" spans="1:11">
      <c r="A82" s="7">
        <v>44012</v>
      </c>
      <c r="B82" s="12">
        <v>5588.38</v>
      </c>
      <c r="D82" s="7">
        <v>44012</v>
      </c>
      <c r="E82" s="12">
        <v>3.914</v>
      </c>
      <c r="G82" s="7">
        <v>44012</v>
      </c>
      <c r="H82" s="12">
        <v>24427.19</v>
      </c>
      <c r="J82" s="7">
        <v>44012</v>
      </c>
      <c r="K82" s="12">
        <v>3100.29</v>
      </c>
    </row>
    <row r="83" spans="1:11">
      <c r="A83" s="7">
        <v>44043</v>
      </c>
      <c r="B83" s="12">
        <v>5447.08</v>
      </c>
      <c r="D83" s="7">
        <v>44043</v>
      </c>
      <c r="E83" s="12">
        <v>4.216</v>
      </c>
      <c r="G83" s="7">
        <v>44043</v>
      </c>
      <c r="H83" s="12">
        <v>24595.35</v>
      </c>
      <c r="J83" s="7">
        <v>44043</v>
      </c>
      <c r="K83" s="12">
        <v>3271.12</v>
      </c>
    </row>
    <row r="84" spans="1:11">
      <c r="A84" s="7">
        <v>44074</v>
      </c>
      <c r="B84" s="12">
        <v>5577.63</v>
      </c>
      <c r="D84" s="7">
        <v>44074</v>
      </c>
      <c r="E84" s="12">
        <v>4.123</v>
      </c>
      <c r="G84" s="7">
        <v>44074</v>
      </c>
      <c r="H84" s="12">
        <v>25177.05</v>
      </c>
      <c r="J84" s="7">
        <v>44074</v>
      </c>
      <c r="K84" s="12">
        <v>3500.31</v>
      </c>
    </row>
    <row r="85" spans="1:11">
      <c r="A85" s="7">
        <v>44104</v>
      </c>
      <c r="B85" s="12">
        <v>5412.34</v>
      </c>
      <c r="D85" s="7">
        <v>44104</v>
      </c>
      <c r="E85" s="12">
        <v>3.974</v>
      </c>
      <c r="G85" s="7">
        <v>44104</v>
      </c>
      <c r="H85" s="12">
        <v>23459.05</v>
      </c>
      <c r="J85" s="7">
        <v>44104</v>
      </c>
      <c r="K85" s="12">
        <v>3363</v>
      </c>
    </row>
    <row r="86" spans="1:11">
      <c r="A86" s="7">
        <v>44134</v>
      </c>
      <c r="B86" s="12">
        <v>5254.98</v>
      </c>
      <c r="D86" s="7">
        <v>44134</v>
      </c>
      <c r="E86" s="12">
        <v>3.897</v>
      </c>
      <c r="G86" s="7">
        <v>44134</v>
      </c>
      <c r="H86" s="12">
        <v>24107.42</v>
      </c>
      <c r="J86" s="7">
        <v>44134</v>
      </c>
      <c r="K86" s="12">
        <v>3269.96</v>
      </c>
    </row>
    <row r="87" spans="1:11">
      <c r="A87" s="7">
        <v>44165</v>
      </c>
      <c r="B87" s="12">
        <v>5939.31</v>
      </c>
      <c r="D87" s="7">
        <v>44165</v>
      </c>
      <c r="E87" s="12">
        <v>3.628</v>
      </c>
      <c r="G87" s="7">
        <v>44165</v>
      </c>
      <c r="H87" s="12">
        <v>26341.49</v>
      </c>
      <c r="J87" s="7">
        <v>44165</v>
      </c>
      <c r="K87" s="12">
        <v>3621.63</v>
      </c>
    </row>
    <row r="88" spans="1:11">
      <c r="A88" s="7">
        <v>44196</v>
      </c>
      <c r="B88" s="12">
        <v>6044.46</v>
      </c>
      <c r="D88" s="7">
        <v>44196</v>
      </c>
      <c r="E88" s="12">
        <v>3.85</v>
      </c>
      <c r="G88" s="7">
        <v>44196</v>
      </c>
      <c r="H88" s="12">
        <v>27231.13</v>
      </c>
      <c r="J88" s="7">
        <v>44196</v>
      </c>
      <c r="K88" s="12">
        <v>3756.07</v>
      </c>
    </row>
    <row r="89" spans="1:11">
      <c r="A89" s="7">
        <v>44225</v>
      </c>
      <c r="B89" s="12">
        <v>5860.74</v>
      </c>
      <c r="D89" s="7">
        <v>44225</v>
      </c>
      <c r="E89" s="12">
        <v>3.778</v>
      </c>
      <c r="G89" s="7">
        <v>44225</v>
      </c>
      <c r="H89" s="12">
        <v>28283.71</v>
      </c>
      <c r="J89" s="7">
        <v>44225</v>
      </c>
      <c r="K89" s="12">
        <v>3714.24</v>
      </c>
    </row>
    <row r="90" spans="1:11">
      <c r="A90" s="7">
        <v>44253</v>
      </c>
      <c r="B90" s="12">
        <v>6183.98</v>
      </c>
      <c r="D90" s="7">
        <v>44253</v>
      </c>
      <c r="E90" s="12">
        <v>3.613</v>
      </c>
      <c r="G90" s="7">
        <v>44253</v>
      </c>
      <c r="H90" s="12">
        <v>28980.21</v>
      </c>
      <c r="J90" s="7">
        <v>44253</v>
      </c>
      <c r="K90" s="12">
        <v>3811.15</v>
      </c>
    </row>
    <row r="91" spans="1:11">
      <c r="A91" s="7">
        <v>44286</v>
      </c>
      <c r="B91" s="12">
        <v>6232.83</v>
      </c>
      <c r="D91" s="7">
        <v>44286</v>
      </c>
      <c r="E91" s="12">
        <v>3.495</v>
      </c>
      <c r="G91" s="7">
        <v>44286</v>
      </c>
      <c r="H91" s="12">
        <v>28378.35</v>
      </c>
      <c r="J91" s="7">
        <v>44286</v>
      </c>
      <c r="K91" s="12">
        <v>3972.89</v>
      </c>
    </row>
    <row r="92" spans="1:11">
      <c r="A92" s="7">
        <v>44316</v>
      </c>
      <c r="B92" s="12">
        <v>6344.72</v>
      </c>
      <c r="D92" s="7">
        <v>44316</v>
      </c>
      <c r="E92" s="12">
        <v>3.625</v>
      </c>
      <c r="G92" s="7">
        <v>44316</v>
      </c>
      <c r="H92" s="12">
        <v>28724.88</v>
      </c>
      <c r="J92" s="7">
        <v>44316</v>
      </c>
      <c r="K92" s="12">
        <v>4181.17</v>
      </c>
    </row>
    <row r="93" spans="1:11">
      <c r="A93" s="7">
        <v>44347</v>
      </c>
      <c r="B93" s="12">
        <v>6524.62</v>
      </c>
      <c r="D93" s="7">
        <v>44347</v>
      </c>
      <c r="E93" s="12">
        <v>3.828</v>
      </c>
      <c r="G93" s="7">
        <v>44347</v>
      </c>
      <c r="H93" s="12">
        <v>29151.8</v>
      </c>
      <c r="J93" s="7">
        <v>44347</v>
      </c>
      <c r="K93" s="12">
        <v>4204.11</v>
      </c>
    </row>
    <row r="94" spans="1:11">
      <c r="A94" s="7">
        <v>44377</v>
      </c>
      <c r="B94" s="12">
        <v>6499.16</v>
      </c>
      <c r="D94" s="7">
        <v>44377</v>
      </c>
      <c r="E94" s="12">
        <v>3.584</v>
      </c>
      <c r="G94" s="7">
        <v>44377</v>
      </c>
      <c r="H94" s="12">
        <v>28827.95</v>
      </c>
      <c r="J94" s="7">
        <v>44377</v>
      </c>
      <c r="K94" s="12">
        <v>4297.5</v>
      </c>
    </row>
    <row r="95" spans="1:11">
      <c r="A95" s="7">
        <v>44407</v>
      </c>
      <c r="B95" s="12">
        <v>6515.7</v>
      </c>
      <c r="D95" s="7">
        <v>44407</v>
      </c>
      <c r="E95" s="12">
        <v>3.72</v>
      </c>
      <c r="G95" s="7">
        <v>44407</v>
      </c>
      <c r="H95" s="12">
        <v>25961.03</v>
      </c>
      <c r="J95" s="7">
        <v>44407</v>
      </c>
      <c r="K95" s="12">
        <v>4395.26</v>
      </c>
    </row>
    <row r="96" spans="1:11">
      <c r="A96" s="7">
        <v>44439</v>
      </c>
      <c r="B96" s="12">
        <v>6513.55</v>
      </c>
      <c r="D96" s="7">
        <v>44439</v>
      </c>
      <c r="E96" s="12">
        <v>3.69</v>
      </c>
      <c r="G96" s="7">
        <v>44439</v>
      </c>
      <c r="H96" s="12">
        <v>25878.99</v>
      </c>
      <c r="J96" s="7">
        <v>44439</v>
      </c>
      <c r="K96" s="12">
        <v>4522.68</v>
      </c>
    </row>
    <row r="97" spans="1:11">
      <c r="A97" s="7">
        <v>44469</v>
      </c>
      <c r="B97" s="12">
        <v>6003.96</v>
      </c>
      <c r="D97" s="7">
        <v>44469</v>
      </c>
      <c r="E97" s="12">
        <v>3.543</v>
      </c>
      <c r="G97" s="7">
        <v>44469</v>
      </c>
      <c r="H97" s="12">
        <v>24575.64</v>
      </c>
      <c r="J97" s="7">
        <v>44469</v>
      </c>
      <c r="K97" s="12">
        <v>4307.54</v>
      </c>
    </row>
    <row r="98" spans="1:11">
      <c r="A98" s="7">
        <v>44498</v>
      </c>
      <c r="B98" s="12">
        <v>6036.2</v>
      </c>
      <c r="D98" s="7">
        <v>44498</v>
      </c>
      <c r="E98" s="12">
        <v>3.609</v>
      </c>
      <c r="G98" s="7">
        <v>44498</v>
      </c>
      <c r="H98" s="12">
        <v>25377.24</v>
      </c>
      <c r="J98" s="7">
        <v>44498</v>
      </c>
      <c r="K98" s="12">
        <v>4605.38</v>
      </c>
    </row>
    <row r="99" spans="1:11">
      <c r="A99" s="7">
        <v>44530</v>
      </c>
      <c r="B99" s="12">
        <v>5966.13</v>
      </c>
      <c r="D99" s="7">
        <v>44530</v>
      </c>
      <c r="E99" s="12">
        <v>3.605</v>
      </c>
      <c r="G99" s="7">
        <v>44530</v>
      </c>
      <c r="H99" s="12">
        <v>23475.26</v>
      </c>
      <c r="J99" s="7">
        <v>44530</v>
      </c>
      <c r="K99" s="12">
        <v>4567</v>
      </c>
    </row>
    <row r="100" spans="1:11">
      <c r="A100" s="7">
        <v>44561</v>
      </c>
      <c r="B100" s="12">
        <v>5915.45</v>
      </c>
      <c r="D100" s="7">
        <v>44561</v>
      </c>
      <c r="E100" s="12">
        <v>3.643</v>
      </c>
      <c r="G100" s="7">
        <v>44561</v>
      </c>
      <c r="H100" s="12">
        <v>23397.67</v>
      </c>
      <c r="J100" s="7">
        <v>44561</v>
      </c>
      <c r="K100" s="12">
        <v>4766.18</v>
      </c>
    </row>
    <row r="101" spans="1:11">
      <c r="A101" s="7">
        <v>44589</v>
      </c>
      <c r="B101" s="12">
        <v>5863.78</v>
      </c>
      <c r="D101" s="7">
        <v>44589</v>
      </c>
      <c r="E101" s="12">
        <v>3.594</v>
      </c>
      <c r="G101" s="7">
        <v>44589</v>
      </c>
      <c r="H101" s="12">
        <v>23802.26</v>
      </c>
      <c r="J101" s="7">
        <v>44589</v>
      </c>
      <c r="K101" s="12">
        <v>4515.55</v>
      </c>
    </row>
    <row r="102" spans="1:11">
      <c r="A102" s="7">
        <v>44620</v>
      </c>
      <c r="B102" s="12">
        <v>5495.51</v>
      </c>
      <c r="D102" s="7">
        <v>44620</v>
      </c>
      <c r="E102" s="12">
        <v>3.787</v>
      </c>
      <c r="G102" s="7">
        <v>44620</v>
      </c>
      <c r="H102" s="12">
        <v>22713.02</v>
      </c>
      <c r="J102" s="7">
        <v>44620</v>
      </c>
      <c r="K102" s="12">
        <v>4373.94</v>
      </c>
    </row>
    <row r="103" spans="1:11">
      <c r="A103" s="7">
        <v>44651</v>
      </c>
      <c r="B103" s="12">
        <v>5569.68</v>
      </c>
      <c r="D103" s="7">
        <v>44651</v>
      </c>
      <c r="E103" s="12">
        <v>3.833</v>
      </c>
      <c r="G103" s="7">
        <v>44651</v>
      </c>
      <c r="H103" s="12">
        <v>21996.85</v>
      </c>
      <c r="J103" s="7">
        <v>44651</v>
      </c>
      <c r="K103" s="12">
        <v>4530.41</v>
      </c>
    </row>
    <row r="104" spans="1:11">
      <c r="A104" s="7">
        <v>44680</v>
      </c>
      <c r="B104" s="12">
        <v>5451.27</v>
      </c>
      <c r="D104" s="7">
        <v>44680</v>
      </c>
      <c r="E104" s="12">
        <v>3.942</v>
      </c>
      <c r="G104" s="7">
        <v>44680</v>
      </c>
      <c r="H104" s="12">
        <v>21089.39</v>
      </c>
      <c r="J104" s="7">
        <v>44680</v>
      </c>
      <c r="K104" s="12">
        <v>4131.93</v>
      </c>
    </row>
    <row r="105" spans="1:11">
      <c r="A105" s="7">
        <v>44712</v>
      </c>
      <c r="B105" s="12">
        <v>5596.59</v>
      </c>
      <c r="D105" s="7">
        <v>44712</v>
      </c>
      <c r="E105" s="12">
        <v>3.877</v>
      </c>
      <c r="G105" s="7">
        <v>44712</v>
      </c>
      <c r="H105" s="12">
        <v>21415.2</v>
      </c>
      <c r="J105" s="7">
        <v>44712</v>
      </c>
      <c r="K105" s="12">
        <v>4132.15</v>
      </c>
    </row>
    <row r="106" spans="1:11">
      <c r="A106" s="7">
        <v>44742</v>
      </c>
      <c r="B106" s="12">
        <v>5261.55</v>
      </c>
      <c r="D106" s="7">
        <v>44742</v>
      </c>
      <c r="E106" s="12">
        <v>3.818</v>
      </c>
      <c r="G106" s="7">
        <v>44742</v>
      </c>
      <c r="H106" s="12">
        <v>21859.79</v>
      </c>
      <c r="J106" s="7">
        <v>44742</v>
      </c>
      <c r="K106" s="12">
        <v>3785.38</v>
      </c>
    </row>
    <row r="107" spans="1:11">
      <c r="A107" s="7">
        <v>44771</v>
      </c>
      <c r="B107" s="12">
        <v>5337.74</v>
      </c>
      <c r="D107" s="7">
        <v>44771</v>
      </c>
      <c r="E107" s="12">
        <v>3.749</v>
      </c>
      <c r="G107" s="7">
        <v>44771</v>
      </c>
      <c r="H107" s="12">
        <v>20156.51</v>
      </c>
      <c r="J107" s="7">
        <v>44771</v>
      </c>
      <c r="K107" s="12">
        <v>4130.29</v>
      </c>
    </row>
    <row r="108" spans="1:11">
      <c r="A108" s="7">
        <v>44804</v>
      </c>
      <c r="B108" s="12">
        <v>4934.38</v>
      </c>
      <c r="D108" s="7">
        <v>44804</v>
      </c>
      <c r="E108" s="12">
        <v>3.758</v>
      </c>
      <c r="G108" s="7">
        <v>44804</v>
      </c>
      <c r="H108" s="12">
        <v>19954.39</v>
      </c>
      <c r="J108" s="7">
        <v>44804</v>
      </c>
      <c r="K108" s="12">
        <v>3955</v>
      </c>
    </row>
    <row r="109" spans="1:11">
      <c r="A109" s="7">
        <v>44834</v>
      </c>
      <c r="B109" s="12">
        <v>4095.63</v>
      </c>
      <c r="D109" s="7">
        <v>44834</v>
      </c>
      <c r="E109" s="12">
        <v>3.783</v>
      </c>
      <c r="G109" s="7">
        <v>44834</v>
      </c>
      <c r="H109" s="12">
        <v>17222.83</v>
      </c>
      <c r="J109" s="7">
        <v>44834</v>
      </c>
      <c r="K109" s="12">
        <v>3585.62</v>
      </c>
    </row>
    <row r="110" spans="1:11">
      <c r="A110" s="7">
        <v>44865</v>
      </c>
      <c r="B110" s="12">
        <v>3454.55</v>
      </c>
      <c r="D110" s="7">
        <v>44865</v>
      </c>
      <c r="E110" s="12">
        <v>3.807</v>
      </c>
      <c r="G110" s="7">
        <v>44865</v>
      </c>
      <c r="H110" s="12">
        <v>14687.02</v>
      </c>
      <c r="J110" s="7">
        <v>44865</v>
      </c>
      <c r="K110" s="12">
        <v>3871.98</v>
      </c>
    </row>
    <row r="111" spans="1:11">
      <c r="A111" s="7">
        <v>44895</v>
      </c>
      <c r="B111" s="12">
        <v>4088.49</v>
      </c>
      <c r="D111" s="7">
        <v>44895</v>
      </c>
      <c r="E111" s="12">
        <v>3.944</v>
      </c>
      <c r="G111" s="7">
        <v>44895</v>
      </c>
      <c r="H111" s="12">
        <v>18597.23</v>
      </c>
      <c r="J111" s="7">
        <v>44895</v>
      </c>
      <c r="K111" s="12">
        <v>4080.11</v>
      </c>
    </row>
    <row r="112" spans="1:11">
      <c r="A112" s="7">
        <v>44925</v>
      </c>
      <c r="B112" s="12">
        <v>4511.42</v>
      </c>
      <c r="D112" s="7">
        <v>44925</v>
      </c>
      <c r="E112" s="12">
        <v>3.986</v>
      </c>
      <c r="G112" s="7">
        <v>44925</v>
      </c>
      <c r="H112" s="12">
        <v>19781.41</v>
      </c>
      <c r="J112" s="7">
        <v>44925</v>
      </c>
      <c r="K112" s="12">
        <v>3839.5</v>
      </c>
    </row>
    <row r="113" spans="1:11">
      <c r="A113" s="7">
        <v>44957</v>
      </c>
      <c r="B113" s="12">
        <v>5167.66</v>
      </c>
      <c r="D113" s="7">
        <v>44957</v>
      </c>
      <c r="E113" s="12">
        <v>4.069</v>
      </c>
      <c r="G113" s="7">
        <v>44957</v>
      </c>
      <c r="H113" s="12">
        <v>21842.33</v>
      </c>
      <c r="J113" s="7">
        <v>44957</v>
      </c>
      <c r="K113" s="12">
        <v>4076.6</v>
      </c>
    </row>
    <row r="114" spans="1:11">
      <c r="A114" s="7">
        <v>44985</v>
      </c>
      <c r="B114" s="12">
        <v>4871.79</v>
      </c>
      <c r="D114" s="7">
        <v>44985</v>
      </c>
      <c r="E114" s="12">
        <v>4.015</v>
      </c>
      <c r="G114" s="7">
        <v>44985</v>
      </c>
      <c r="H114" s="12">
        <v>19785.94</v>
      </c>
      <c r="J114" s="7">
        <v>44985</v>
      </c>
      <c r="K114" s="12">
        <v>3970.15</v>
      </c>
    </row>
    <row r="115" spans="1:11">
      <c r="A115" s="7">
        <v>45016</v>
      </c>
      <c r="B115" s="12">
        <v>4615.46</v>
      </c>
      <c r="D115" s="7">
        <v>45016</v>
      </c>
      <c r="E115" s="12">
        <v>4.281</v>
      </c>
      <c r="G115" s="7">
        <v>45016</v>
      </c>
      <c r="H115" s="12">
        <v>20400.11</v>
      </c>
      <c r="J115" s="7">
        <v>45016</v>
      </c>
      <c r="K115" s="12">
        <v>4109.31</v>
      </c>
    </row>
    <row r="116" spans="1:11">
      <c r="A116" s="7">
        <v>45044</v>
      </c>
      <c r="B116" s="12">
        <v>4693.73</v>
      </c>
      <c r="D116" s="7">
        <v>45044</v>
      </c>
      <c r="E116" s="12">
        <v>4.298</v>
      </c>
      <c r="G116" s="7">
        <v>45044</v>
      </c>
      <c r="H116" s="12">
        <v>19894.57</v>
      </c>
      <c r="J116" s="7">
        <v>45044</v>
      </c>
      <c r="K116" s="12">
        <v>4169.48</v>
      </c>
    </row>
    <row r="117" spans="1:11">
      <c r="A117" s="7">
        <v>45077</v>
      </c>
      <c r="B117" s="12">
        <v>4167.11</v>
      </c>
      <c r="D117" s="7">
        <v>45077</v>
      </c>
      <c r="E117" s="12">
        <v>4.365</v>
      </c>
      <c r="G117" s="7">
        <v>45077</v>
      </c>
      <c r="H117" s="12">
        <v>18234.27</v>
      </c>
      <c r="J117" s="7">
        <v>45077</v>
      </c>
      <c r="K117" s="12">
        <v>4179.83</v>
      </c>
    </row>
    <row r="118" spans="1:11">
      <c r="A118" s="7">
        <v>45107</v>
      </c>
      <c r="B118" s="12">
        <v>3945.19</v>
      </c>
      <c r="D118" s="7">
        <v>45107</v>
      </c>
      <c r="E118" s="12">
        <v>4.349</v>
      </c>
      <c r="G118" s="7">
        <v>45107</v>
      </c>
      <c r="H118" s="12">
        <v>18916.43</v>
      </c>
      <c r="J118" s="7">
        <v>45107</v>
      </c>
      <c r="K118" s="12">
        <v>4450.38</v>
      </c>
    </row>
    <row r="119" spans="1:11">
      <c r="A119" s="7">
        <v>45138</v>
      </c>
      <c r="B119" s="12">
        <v>3893.85</v>
      </c>
      <c r="D119" s="7">
        <v>45138</v>
      </c>
      <c r="E119" s="12">
        <v>4.409</v>
      </c>
      <c r="G119" s="7">
        <v>45138</v>
      </c>
      <c r="H119" s="12">
        <v>20078.94</v>
      </c>
      <c r="J119" s="7">
        <v>45138</v>
      </c>
      <c r="K119" s="12">
        <v>4588.96</v>
      </c>
    </row>
    <row r="120" spans="1:11">
      <c r="A120" s="7">
        <v>45169</v>
      </c>
      <c r="B120" s="12">
        <v>3468.38</v>
      </c>
      <c r="D120" s="7">
        <v>45169</v>
      </c>
      <c r="E120" s="12">
        <v>4.494</v>
      </c>
      <c r="G120" s="7">
        <v>45169</v>
      </c>
      <c r="H120" s="12">
        <v>18382.06</v>
      </c>
      <c r="J120" s="7">
        <v>45169</v>
      </c>
      <c r="K120" s="12">
        <v>4507.66</v>
      </c>
    </row>
    <row r="121" spans="1:11">
      <c r="A121" s="7">
        <v>45197</v>
      </c>
      <c r="B121" s="12">
        <v>3297.24</v>
      </c>
      <c r="D121" s="7">
        <v>45197</v>
      </c>
      <c r="E121" s="12">
        <v>4.436</v>
      </c>
      <c r="G121" s="7">
        <v>45197</v>
      </c>
      <c r="H121" s="12">
        <v>17809.66</v>
      </c>
      <c r="J121" s="7">
        <v>45197</v>
      </c>
      <c r="K121" s="12">
        <v>4288.05</v>
      </c>
    </row>
    <row r="122" spans="1:11">
      <c r="A122" s="7">
        <v>45230</v>
      </c>
      <c r="B122" s="12">
        <v>2991.64</v>
      </c>
      <c r="D122" s="7">
        <v>45230</v>
      </c>
      <c r="E122" s="12">
        <v>4.62</v>
      </c>
      <c r="G122" s="7">
        <v>45230</v>
      </c>
      <c r="H122" s="12">
        <v>17112.48</v>
      </c>
      <c r="J122" s="7">
        <v>45230</v>
      </c>
      <c r="K122" s="12">
        <v>4193.8</v>
      </c>
    </row>
    <row r="123" spans="1:11">
      <c r="A123" s="7">
        <v>45260</v>
      </c>
      <c r="B123" s="12">
        <v>3269.17</v>
      </c>
      <c r="D123" s="7">
        <v>45260</v>
      </c>
      <c r="E123" s="12">
        <v>4.589</v>
      </c>
      <c r="G123" s="7">
        <v>45260</v>
      </c>
      <c r="H123" s="12">
        <v>17042.88</v>
      </c>
      <c r="J123" s="7">
        <v>45260</v>
      </c>
      <c r="K123" s="12">
        <v>4567.8</v>
      </c>
    </row>
    <row r="124" spans="1:11">
      <c r="A124" s="7">
        <v>45289</v>
      </c>
      <c r="B124" s="12">
        <v>3468.74</v>
      </c>
      <c r="D124" s="7">
        <v>45289</v>
      </c>
      <c r="E124" s="12">
        <v>4.648</v>
      </c>
      <c r="G124" s="7">
        <v>45289</v>
      </c>
      <c r="H124" s="12">
        <v>17047.39</v>
      </c>
      <c r="J124" s="7">
        <v>45289</v>
      </c>
      <c r="K124" s="12">
        <v>4769.83</v>
      </c>
    </row>
    <row r="125" spans="1:11">
      <c r="A125" s="7">
        <v>45322</v>
      </c>
      <c r="B125" s="12">
        <v>3053.4</v>
      </c>
      <c r="D125" s="7">
        <v>45322</v>
      </c>
      <c r="E125" s="12">
        <v>4.653</v>
      </c>
      <c r="G125" s="7">
        <v>45322</v>
      </c>
      <c r="H125" s="12">
        <v>15485.07</v>
      </c>
      <c r="J125" s="7">
        <v>45322</v>
      </c>
      <c r="K125" s="12">
        <v>4845.65</v>
      </c>
    </row>
    <row r="126" spans="1:11">
      <c r="A126" s="7">
        <v>45351</v>
      </c>
      <c r="B126" s="12">
        <v>3044.41</v>
      </c>
      <c r="D126" s="7">
        <v>45351</v>
      </c>
      <c r="E126" s="12">
        <v>4.647</v>
      </c>
      <c r="G126" s="7">
        <v>45351</v>
      </c>
      <c r="H126" s="12">
        <v>16511.44</v>
      </c>
      <c r="J126" s="7">
        <v>45351</v>
      </c>
      <c r="K126" s="12">
        <v>5096.27</v>
      </c>
    </row>
    <row r="127" spans="1:11">
      <c r="A127" s="7">
        <v>45380</v>
      </c>
      <c r="B127" s="12">
        <v>2704.87</v>
      </c>
      <c r="D127" s="7">
        <v>45380</v>
      </c>
      <c r="E127" s="12">
        <v>5.126</v>
      </c>
      <c r="G127" s="7">
        <v>45380</v>
      </c>
      <c r="H127" s="12">
        <v>16541.42</v>
      </c>
      <c r="J127" s="7">
        <v>45380</v>
      </c>
      <c r="K127" s="12">
        <v>5254.35</v>
      </c>
    </row>
    <row r="128" spans="1:11">
      <c r="A128" s="7">
        <v>45412</v>
      </c>
      <c r="B128" s="12">
        <v>2590.69</v>
      </c>
      <c r="D128" s="7">
        <v>45412</v>
      </c>
      <c r="E128" s="12">
        <v>5.286</v>
      </c>
      <c r="G128" s="7">
        <v>45412</v>
      </c>
      <c r="H128" s="12">
        <v>17763.03</v>
      </c>
      <c r="J128" s="7">
        <v>45412</v>
      </c>
      <c r="K128" s="12">
        <v>5035.69</v>
      </c>
    </row>
    <row r="129" spans="1:11">
      <c r="A129" s="7">
        <v>45443</v>
      </c>
      <c r="B129" s="12">
        <v>2692.76</v>
      </c>
      <c r="D129" s="7">
        <v>45443</v>
      </c>
      <c r="E129" s="12">
        <v>5.343</v>
      </c>
      <c r="G129" s="7">
        <v>45443</v>
      </c>
      <c r="H129" s="12">
        <v>18079.61</v>
      </c>
      <c r="J129" s="7">
        <v>45443</v>
      </c>
      <c r="K129" s="12">
        <v>5277.51</v>
      </c>
    </row>
    <row r="130" spans="1:11">
      <c r="A130" s="7">
        <v>45471</v>
      </c>
      <c r="B130" s="12">
        <v>2548.37</v>
      </c>
      <c r="D130" s="7">
        <v>45471</v>
      </c>
      <c r="E130" s="12">
        <v>5.297</v>
      </c>
      <c r="G130" s="7">
        <v>45471</v>
      </c>
      <c r="H130" s="12">
        <v>17718.61</v>
      </c>
      <c r="J130" s="7">
        <v>45471</v>
      </c>
      <c r="K130" s="12">
        <v>5460.48</v>
      </c>
    </row>
    <row r="131" spans="1:11">
      <c r="A131" s="7">
        <v>45504</v>
      </c>
      <c r="B131" s="12">
        <v>2642.93</v>
      </c>
      <c r="D131" s="7">
        <v>45504</v>
      </c>
      <c r="E131" s="12">
        <v>5.436</v>
      </c>
      <c r="G131" s="7">
        <v>45504</v>
      </c>
      <c r="H131" s="12">
        <v>17344.6</v>
      </c>
      <c r="J131" s="7">
        <v>45504</v>
      </c>
      <c r="K131" s="12">
        <v>5522.3</v>
      </c>
    </row>
    <row r="132" spans="1:11">
      <c r="A132" s="7">
        <v>45534</v>
      </c>
      <c r="B132" s="12">
        <v>2848.95</v>
      </c>
      <c r="D132" s="7">
        <v>45534</v>
      </c>
      <c r="E132" s="12">
        <v>5.522</v>
      </c>
      <c r="G132" s="7">
        <v>45534</v>
      </c>
      <c r="H132" s="12">
        <v>17989.07</v>
      </c>
      <c r="J132" s="7">
        <v>45534</v>
      </c>
      <c r="K132" s="12">
        <v>5648.4</v>
      </c>
    </row>
    <row r="133" spans="1:11">
      <c r="A133" s="7">
        <v>45565</v>
      </c>
      <c r="B133" s="12">
        <v>3161.71</v>
      </c>
      <c r="D133" s="7">
        <v>45565</v>
      </c>
      <c r="E133" s="12">
        <v>5.707</v>
      </c>
      <c r="G133" s="7">
        <v>45565</v>
      </c>
      <c r="H133" s="12">
        <v>21133.68</v>
      </c>
      <c r="J133" s="7">
        <v>45565</v>
      </c>
      <c r="K133" s="12">
        <v>5762.48</v>
      </c>
    </row>
    <row r="134" spans="1:11">
      <c r="A134" s="7">
        <v>45596</v>
      </c>
      <c r="B134" s="12">
        <v>2866.7</v>
      </c>
      <c r="D134" s="7">
        <v>45596</v>
      </c>
      <c r="E134" s="12">
        <v>6.103</v>
      </c>
      <c r="G134" s="7">
        <v>45596</v>
      </c>
      <c r="H134" s="12">
        <v>20317.33</v>
      </c>
      <c r="J134" s="7">
        <v>45596</v>
      </c>
      <c r="K134" s="12">
        <v>5705.45</v>
      </c>
    </row>
    <row r="135" spans="1:11">
      <c r="A135" s="7">
        <v>45625</v>
      </c>
      <c r="B135" s="12">
        <v>2732.75</v>
      </c>
      <c r="D135" s="7">
        <v>45625</v>
      </c>
      <c r="E135" s="12">
        <v>5.923</v>
      </c>
      <c r="G135" s="7">
        <v>45625</v>
      </c>
      <c r="H135" s="12">
        <v>19423.61</v>
      </c>
      <c r="J135" s="7">
        <v>45625</v>
      </c>
      <c r="K135" s="12">
        <v>6032.38</v>
      </c>
    </row>
    <row r="136" spans="1:11">
      <c r="A136" s="7">
        <v>45657</v>
      </c>
      <c r="B136" s="12">
        <v>2684.72</v>
      </c>
      <c r="D136" s="7">
        <v>45657</v>
      </c>
      <c r="E136" s="12">
        <v>5.928</v>
      </c>
      <c r="G136" s="7">
        <v>45657</v>
      </c>
      <c r="H136" s="12">
        <v>20059.95</v>
      </c>
      <c r="J136" s="7">
        <v>45657</v>
      </c>
      <c r="K136" s="12">
        <v>5881.63</v>
      </c>
    </row>
    <row r="137" spans="1:11">
      <c r="A137" s="7">
        <v>45684</v>
      </c>
      <c r="B137" s="12">
        <v>2601.74</v>
      </c>
      <c r="D137" s="7">
        <v>45684</v>
      </c>
      <c r="E137" s="12">
        <v>6.202</v>
      </c>
      <c r="G137" s="7">
        <v>45684</v>
      </c>
      <c r="H137" s="12">
        <v>20225.11</v>
      </c>
      <c r="J137" s="7">
        <v>45684</v>
      </c>
      <c r="K137" s="12">
        <v>6040.53</v>
      </c>
    </row>
    <row r="138" spans="1:11">
      <c r="A138" s="7">
        <v>45716</v>
      </c>
      <c r="B138" s="12">
        <v>2738.94</v>
      </c>
      <c r="D138" s="7">
        <v>45716</v>
      </c>
      <c r="E138" s="12">
        <v>6.444</v>
      </c>
      <c r="G138" s="7">
        <v>45716</v>
      </c>
      <c r="H138" s="12">
        <v>22941.32</v>
      </c>
      <c r="J138" s="7">
        <v>45716</v>
      </c>
      <c r="K138" s="12">
        <v>5954.5</v>
      </c>
    </row>
    <row r="139" spans="1:11">
      <c r="A139" s="7">
        <v>45747</v>
      </c>
      <c r="B139" s="12">
        <v>2748.28</v>
      </c>
      <c r="D139" s="7">
        <v>45747</v>
      </c>
      <c r="E139" s="12">
        <v>7.012</v>
      </c>
      <c r="G139" s="7">
        <v>45747</v>
      </c>
      <c r="H139" s="12">
        <v>23119.58</v>
      </c>
      <c r="J139" s="7">
        <v>45747</v>
      </c>
      <c r="K139" s="12">
        <v>5611.85</v>
      </c>
    </row>
    <row r="140" spans="1:11">
      <c r="A140" s="7">
        <v>45777</v>
      </c>
      <c r="B140" s="12">
        <v>2868.84</v>
      </c>
      <c r="D140" s="7">
        <v>45777</v>
      </c>
      <c r="E140" s="12">
        <v>7.471</v>
      </c>
      <c r="G140" s="7">
        <v>45777</v>
      </c>
      <c r="H140" s="12">
        <v>22119.41</v>
      </c>
      <c r="J140" s="7">
        <v>45777</v>
      </c>
      <c r="K140" s="12">
        <v>5569.06</v>
      </c>
    </row>
    <row r="141" spans="1:11">
      <c r="A141" s="7">
        <v>45805</v>
      </c>
      <c r="B141" s="12">
        <v>2872.98</v>
      </c>
      <c r="D141" s="7">
        <v>45805</v>
      </c>
      <c r="E141" s="12">
        <v>7.375</v>
      </c>
      <c r="G141" s="7">
        <v>45805</v>
      </c>
      <c r="H141" s="12">
        <v>23258.31</v>
      </c>
      <c r="J141" s="7">
        <v>45805</v>
      </c>
      <c r="K141" s="12">
        <v>5921.54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6"/>
  <sheetViews>
    <sheetView zoomScale="64" zoomScaleNormal="64" workbookViewId="0">
      <selection activeCell="A1" sqref="A1:K136"/>
    </sheetView>
  </sheetViews>
  <sheetFormatPr defaultColWidth="9" defaultRowHeight="16.8"/>
  <cols>
    <col min="1" max="1" width="11.0803571428571" customWidth="1"/>
    <col min="4" max="4" width="11.0803571428571" customWidth="1"/>
    <col min="7" max="7" width="11.0803571428571" customWidth="1"/>
    <col min="10" max="10" width="11.0803571428571" customWidth="1"/>
  </cols>
  <sheetData>
    <row r="1" spans="2:26">
      <c r="B1" s="6" t="s">
        <v>8</v>
      </c>
      <c r="E1" s="6" t="s">
        <v>9</v>
      </c>
      <c r="H1" s="6" t="s">
        <v>10</v>
      </c>
      <c r="K1" s="6" t="s">
        <v>11</v>
      </c>
      <c r="N1" s="8" t="s">
        <v>12</v>
      </c>
      <c r="Q1" s="8" t="s">
        <v>13</v>
      </c>
      <c r="T1" s="8" t="s">
        <v>14</v>
      </c>
      <c r="W1" s="8" t="s">
        <v>15</v>
      </c>
      <c r="Z1" s="8" t="s">
        <v>16</v>
      </c>
    </row>
    <row r="2" spans="2:26">
      <c r="B2" t="s">
        <v>0</v>
      </c>
      <c r="E2" t="s">
        <v>1</v>
      </c>
      <c r="H2" t="s">
        <v>2</v>
      </c>
      <c r="K2" t="s">
        <v>3</v>
      </c>
      <c r="N2" s="9" t="s">
        <v>17</v>
      </c>
      <c r="Q2" s="1">
        <v>905</v>
      </c>
      <c r="T2" s="9">
        <v>852</v>
      </c>
      <c r="W2" s="10" t="s">
        <v>18</v>
      </c>
      <c r="Z2" s="9">
        <v>12</v>
      </c>
    </row>
    <row r="3" spans="1:26">
      <c r="A3" t="s">
        <v>4</v>
      </c>
      <c r="B3" t="s">
        <v>5</v>
      </c>
      <c r="D3" t="s">
        <v>4</v>
      </c>
      <c r="E3" t="s">
        <v>5</v>
      </c>
      <c r="G3" t="s">
        <v>4</v>
      </c>
      <c r="H3" t="s">
        <v>5</v>
      </c>
      <c r="J3" t="s">
        <v>4</v>
      </c>
      <c r="K3" t="s">
        <v>5</v>
      </c>
      <c r="M3" t="s">
        <v>4</v>
      </c>
      <c r="N3" t="s">
        <v>5</v>
      </c>
      <c r="P3" t="s">
        <v>4</v>
      </c>
      <c r="Q3" t="s">
        <v>5</v>
      </c>
      <c r="S3" t="s">
        <v>4</v>
      </c>
      <c r="T3" t="s">
        <v>5</v>
      </c>
      <c r="V3" t="s">
        <v>4</v>
      </c>
      <c r="W3" t="s">
        <v>5</v>
      </c>
      <c r="Y3" t="s">
        <v>4</v>
      </c>
      <c r="Z3" t="s">
        <v>5</v>
      </c>
    </row>
    <row r="4" spans="1:26">
      <c r="A4" t="s">
        <v>6</v>
      </c>
      <c r="B4" t="s">
        <v>7</v>
      </c>
      <c r="D4" t="s">
        <v>6</v>
      </c>
      <c r="E4" t="s">
        <v>7</v>
      </c>
      <c r="G4" t="s">
        <v>6</v>
      </c>
      <c r="H4" t="s">
        <v>7</v>
      </c>
      <c r="J4" t="s">
        <v>6</v>
      </c>
      <c r="K4" t="s">
        <v>7</v>
      </c>
      <c r="M4" t="s">
        <v>6</v>
      </c>
      <c r="N4" t="s">
        <v>7</v>
      </c>
      <c r="P4" t="s">
        <v>6</v>
      </c>
      <c r="Q4" t="s">
        <v>7</v>
      </c>
      <c r="S4" t="s">
        <v>6</v>
      </c>
      <c r="T4" t="s">
        <v>7</v>
      </c>
      <c r="V4" t="s">
        <v>6</v>
      </c>
      <c r="W4" t="s">
        <v>7</v>
      </c>
      <c r="Y4" t="s">
        <v>6</v>
      </c>
      <c r="Z4" t="s">
        <v>7</v>
      </c>
    </row>
    <row r="5" spans="1:26">
      <c r="A5" s="7">
        <v>41669</v>
      </c>
      <c r="B5">
        <v>5143.42</v>
      </c>
      <c r="D5" s="7">
        <v>41669</v>
      </c>
      <c r="E5">
        <v>2.461</v>
      </c>
      <c r="G5" s="7">
        <v>41669</v>
      </c>
      <c r="H5">
        <v>22035.42</v>
      </c>
      <c r="J5" s="7">
        <v>41669</v>
      </c>
      <c r="K5">
        <v>1782.59</v>
      </c>
      <c r="M5" s="9" t="s">
        <v>19</v>
      </c>
      <c r="N5" s="9">
        <v>2202.45</v>
      </c>
      <c r="P5" s="9" t="s">
        <v>19</v>
      </c>
      <c r="Q5" s="9">
        <v>3885.416</v>
      </c>
      <c r="V5" s="9" t="s">
        <v>19</v>
      </c>
      <c r="W5" s="9">
        <v>144.131</v>
      </c>
      <c r="Y5" s="9" t="s">
        <v>19</v>
      </c>
      <c r="Z5" s="9">
        <v>139.577</v>
      </c>
    </row>
    <row r="6" spans="1:26">
      <c r="A6" s="7">
        <v>41698</v>
      </c>
      <c r="B6">
        <v>5233.99</v>
      </c>
      <c r="D6" s="7">
        <v>41698</v>
      </c>
      <c r="E6">
        <v>2.621</v>
      </c>
      <c r="G6" s="7">
        <v>41698</v>
      </c>
      <c r="H6">
        <v>22836.96</v>
      </c>
      <c r="J6" s="7">
        <v>41698</v>
      </c>
      <c r="K6">
        <v>1859.45</v>
      </c>
      <c r="M6" s="9" t="s">
        <v>20</v>
      </c>
      <c r="N6" s="9">
        <v>2178.971</v>
      </c>
      <c r="P6" s="9" t="s">
        <v>20</v>
      </c>
      <c r="Q6" s="9">
        <v>3975.929</v>
      </c>
      <c r="V6" s="9" t="s">
        <v>20</v>
      </c>
      <c r="W6" s="9">
        <v>146.536</v>
      </c>
      <c r="Y6" s="9" t="s">
        <v>20</v>
      </c>
      <c r="Z6" s="9">
        <v>139.901</v>
      </c>
    </row>
    <row r="7" spans="1:26">
      <c r="A7" s="7">
        <v>41729</v>
      </c>
      <c r="B7">
        <v>5236.16</v>
      </c>
      <c r="D7" s="7">
        <v>41729</v>
      </c>
      <c r="E7">
        <v>2.573</v>
      </c>
      <c r="G7" s="7">
        <v>41729</v>
      </c>
      <c r="H7">
        <v>22151.06</v>
      </c>
      <c r="J7" s="7">
        <v>41729</v>
      </c>
      <c r="K7">
        <v>1872.34</v>
      </c>
      <c r="M7" s="9" t="s">
        <v>21</v>
      </c>
      <c r="N7" s="9">
        <v>2146.305</v>
      </c>
      <c r="P7" s="9" t="s">
        <v>21</v>
      </c>
      <c r="Q7" s="9">
        <v>3840.536</v>
      </c>
      <c r="V7" s="9" t="s">
        <v>21</v>
      </c>
      <c r="W7" s="9">
        <v>146.668</v>
      </c>
      <c r="Y7" s="9" t="s">
        <v>21</v>
      </c>
      <c r="Z7" s="9">
        <v>140.539</v>
      </c>
    </row>
    <row r="8" spans="1:26">
      <c r="A8" s="7">
        <v>41759</v>
      </c>
      <c r="B8">
        <v>5250.6</v>
      </c>
      <c r="D8" s="7">
        <v>41759</v>
      </c>
      <c r="E8">
        <v>2.612</v>
      </c>
      <c r="G8" s="7">
        <v>41759</v>
      </c>
      <c r="H8">
        <v>22133.97</v>
      </c>
      <c r="J8" s="7">
        <v>41759</v>
      </c>
      <c r="K8">
        <v>1883.95</v>
      </c>
      <c r="M8" s="9" t="s">
        <v>22</v>
      </c>
      <c r="N8" s="9">
        <v>2158.659</v>
      </c>
      <c r="P8" s="9" t="s">
        <v>22</v>
      </c>
      <c r="Q8" s="9">
        <v>3766.17</v>
      </c>
      <c r="V8" s="9" t="s">
        <v>22</v>
      </c>
      <c r="W8" s="9">
        <v>147.995</v>
      </c>
      <c r="Y8" s="9" t="s">
        <v>22</v>
      </c>
      <c r="Z8" s="9">
        <v>140.801</v>
      </c>
    </row>
    <row r="9" spans="1:26">
      <c r="A9" s="7">
        <v>41789</v>
      </c>
      <c r="B9">
        <v>5477.47</v>
      </c>
      <c r="D9" s="7">
        <v>41789</v>
      </c>
      <c r="E9">
        <v>2.535</v>
      </c>
      <c r="G9" s="7">
        <v>41789</v>
      </c>
      <c r="H9">
        <v>23081.65</v>
      </c>
      <c r="J9" s="7">
        <v>41789</v>
      </c>
      <c r="K9">
        <v>1923.57</v>
      </c>
      <c r="M9" s="9" t="s">
        <v>23</v>
      </c>
      <c r="N9" s="9">
        <v>2156.464</v>
      </c>
      <c r="P9" s="9" t="s">
        <v>23</v>
      </c>
      <c r="Q9" s="9">
        <v>3829.238</v>
      </c>
      <c r="V9" s="9" t="s">
        <v>23</v>
      </c>
      <c r="W9" s="9">
        <v>149.801</v>
      </c>
      <c r="Y9" s="9" t="s">
        <v>23</v>
      </c>
      <c r="Z9" s="9">
        <v>141.54</v>
      </c>
    </row>
    <row r="10" spans="1:26">
      <c r="A10" s="7">
        <v>41820</v>
      </c>
      <c r="B10">
        <v>5468.33</v>
      </c>
      <c r="D10" s="7">
        <v>41820</v>
      </c>
      <c r="E10">
        <v>2.629</v>
      </c>
      <c r="G10" s="7">
        <v>41820</v>
      </c>
      <c r="H10">
        <v>23190.72</v>
      </c>
      <c r="J10" s="7">
        <v>41820</v>
      </c>
      <c r="K10">
        <v>1960.23</v>
      </c>
      <c r="M10" s="9" t="s">
        <v>24</v>
      </c>
      <c r="N10" s="9">
        <v>2165.118</v>
      </c>
      <c r="P10" s="9" t="s">
        <v>24</v>
      </c>
      <c r="Q10" s="9">
        <v>3924.903</v>
      </c>
      <c r="V10" s="9" t="s">
        <v>24</v>
      </c>
      <c r="W10" s="9">
        <v>150.979</v>
      </c>
      <c r="Y10" s="9" t="s">
        <v>24</v>
      </c>
      <c r="Z10" s="9">
        <v>142.015</v>
      </c>
    </row>
    <row r="11" spans="1:26">
      <c r="A11" s="7">
        <v>41851</v>
      </c>
      <c r="B11">
        <v>5700.62</v>
      </c>
      <c r="D11" s="7">
        <v>41851</v>
      </c>
      <c r="E11">
        <v>2.577</v>
      </c>
      <c r="G11" s="7">
        <v>41851</v>
      </c>
      <c r="H11">
        <v>24756.85</v>
      </c>
      <c r="J11" s="7">
        <v>41851</v>
      </c>
      <c r="K11">
        <v>1930.67</v>
      </c>
      <c r="M11" s="9" t="s">
        <v>25</v>
      </c>
      <c r="N11" s="9">
        <v>2350.251</v>
      </c>
      <c r="P11" s="9" t="s">
        <v>25</v>
      </c>
      <c r="Q11" s="9">
        <v>4257.045</v>
      </c>
      <c r="V11" s="9" t="s">
        <v>25</v>
      </c>
      <c r="W11" s="9">
        <v>150.654</v>
      </c>
      <c r="Y11" s="9" t="s">
        <v>25</v>
      </c>
      <c r="Z11" s="9">
        <v>142.297</v>
      </c>
    </row>
    <row r="12" spans="1:26">
      <c r="A12" s="7">
        <v>41880</v>
      </c>
      <c r="B12">
        <v>5746.19</v>
      </c>
      <c r="D12" s="7">
        <v>41880</v>
      </c>
      <c r="E12">
        <v>2.554</v>
      </c>
      <c r="G12" s="7">
        <v>41880</v>
      </c>
      <c r="H12">
        <v>24742.06</v>
      </c>
      <c r="J12" s="7">
        <v>41880</v>
      </c>
      <c r="K12">
        <v>2003.37</v>
      </c>
      <c r="M12" s="9" t="s">
        <v>26</v>
      </c>
      <c r="N12" s="9">
        <v>2338.287</v>
      </c>
      <c r="P12" s="9" t="s">
        <v>26</v>
      </c>
      <c r="Q12" s="9">
        <v>4427.879</v>
      </c>
      <c r="V12" s="9" t="s">
        <v>26</v>
      </c>
      <c r="W12" s="9">
        <v>151.876</v>
      </c>
      <c r="Y12" s="9" t="s">
        <v>26</v>
      </c>
      <c r="Z12" s="9">
        <v>142.743</v>
      </c>
    </row>
    <row r="13" spans="1:26">
      <c r="A13" s="7">
        <v>41912</v>
      </c>
      <c r="B13">
        <v>5487.86</v>
      </c>
      <c r="D13" s="7">
        <v>41912</v>
      </c>
      <c r="E13">
        <v>2.429</v>
      </c>
      <c r="G13" s="7">
        <v>41912</v>
      </c>
      <c r="H13">
        <v>22932.98</v>
      </c>
      <c r="J13" s="7">
        <v>41912</v>
      </c>
      <c r="K13">
        <v>1972.29</v>
      </c>
      <c r="M13" s="9" t="s">
        <v>27</v>
      </c>
      <c r="N13" s="9">
        <v>2450.988</v>
      </c>
      <c r="P13" s="9" t="s">
        <v>27</v>
      </c>
      <c r="Q13" s="9">
        <v>4916.119</v>
      </c>
      <c r="V13" s="9" t="s">
        <v>27</v>
      </c>
      <c r="W13" s="9">
        <v>153.331</v>
      </c>
      <c r="Y13" s="9" t="s">
        <v>27</v>
      </c>
      <c r="Z13" s="9">
        <v>143.597</v>
      </c>
    </row>
    <row r="14" spans="1:26">
      <c r="A14" s="7">
        <v>41943</v>
      </c>
      <c r="B14">
        <v>5613.9</v>
      </c>
      <c r="D14" s="7">
        <v>41943</v>
      </c>
      <c r="E14">
        <v>2.349</v>
      </c>
      <c r="G14" s="7">
        <v>41943</v>
      </c>
      <c r="H14">
        <v>23998.06</v>
      </c>
      <c r="J14" s="7">
        <v>41943</v>
      </c>
      <c r="K14">
        <v>2018.05</v>
      </c>
      <c r="M14" s="9" t="s">
        <v>28</v>
      </c>
      <c r="N14" s="9">
        <v>2508.325</v>
      </c>
      <c r="P14" s="9" t="s">
        <v>28</v>
      </c>
      <c r="Q14" s="9">
        <v>4986.416</v>
      </c>
      <c r="S14" s="9" t="s">
        <v>28</v>
      </c>
      <c r="T14" s="9">
        <v>6208.61</v>
      </c>
      <c r="V14" s="9" t="s">
        <v>28</v>
      </c>
      <c r="W14" s="9">
        <v>155.915</v>
      </c>
      <c r="Y14" s="9" t="s">
        <v>28</v>
      </c>
      <c r="Z14" s="9">
        <v>144.485</v>
      </c>
    </row>
    <row r="15" spans="1:26">
      <c r="A15" s="7">
        <v>41971</v>
      </c>
      <c r="B15">
        <v>5912.57</v>
      </c>
      <c r="D15" s="7">
        <v>41971</v>
      </c>
      <c r="E15">
        <v>2.353</v>
      </c>
      <c r="G15" s="7">
        <v>41971</v>
      </c>
      <c r="H15">
        <v>23987.45</v>
      </c>
      <c r="J15" s="7">
        <v>41971</v>
      </c>
      <c r="K15">
        <v>2067.56</v>
      </c>
      <c r="M15" s="9" t="s">
        <v>29</v>
      </c>
      <c r="N15" s="9">
        <v>2808.819</v>
      </c>
      <c r="P15" s="9" t="s">
        <v>29</v>
      </c>
      <c r="Q15" s="9">
        <v>5245.267</v>
      </c>
      <c r="S15" s="9" t="s">
        <v>29</v>
      </c>
      <c r="T15" s="9">
        <v>6478.108</v>
      </c>
      <c r="V15" s="9" t="s">
        <v>29</v>
      </c>
      <c r="W15" s="9">
        <v>158.599</v>
      </c>
      <c r="Y15" s="9" t="s">
        <v>29</v>
      </c>
      <c r="Z15" s="9">
        <v>145.372</v>
      </c>
    </row>
    <row r="16" spans="1:26">
      <c r="A16" s="7">
        <v>42004</v>
      </c>
      <c r="B16">
        <v>5868.97</v>
      </c>
      <c r="D16" s="7">
        <v>42004</v>
      </c>
      <c r="E16">
        <v>2.412</v>
      </c>
      <c r="G16" s="7">
        <v>42004</v>
      </c>
      <c r="H16">
        <v>23605.04</v>
      </c>
      <c r="J16" s="7">
        <v>42004</v>
      </c>
      <c r="K16">
        <v>2058.9</v>
      </c>
      <c r="M16" s="9" t="s">
        <v>30</v>
      </c>
      <c r="N16" s="9">
        <v>3533.705</v>
      </c>
      <c r="P16" s="9" t="s">
        <v>30</v>
      </c>
      <c r="Q16" s="9">
        <v>5322.714</v>
      </c>
      <c r="S16" s="9" t="s">
        <v>30</v>
      </c>
      <c r="T16" s="9">
        <v>6027.52</v>
      </c>
      <c r="V16" s="9" t="s">
        <v>30</v>
      </c>
      <c r="W16" s="9">
        <v>158.32</v>
      </c>
      <c r="Y16" s="9" t="s">
        <v>30</v>
      </c>
      <c r="Z16" s="9">
        <v>145.679</v>
      </c>
    </row>
    <row r="17" spans="1:26">
      <c r="A17" s="7">
        <v>42034</v>
      </c>
      <c r="B17">
        <v>6234.37</v>
      </c>
      <c r="D17" s="7">
        <v>42034</v>
      </c>
      <c r="E17">
        <v>2.542</v>
      </c>
      <c r="G17" s="7">
        <v>42034</v>
      </c>
      <c r="H17">
        <v>24507.05</v>
      </c>
      <c r="J17" s="7">
        <v>42034</v>
      </c>
      <c r="K17">
        <v>1994.99</v>
      </c>
      <c r="M17" s="9" t="s">
        <v>31</v>
      </c>
      <c r="N17" s="9">
        <v>3434.39</v>
      </c>
      <c r="P17" s="9" t="s">
        <v>31</v>
      </c>
      <c r="Q17" s="9">
        <v>5632.728</v>
      </c>
      <c r="S17" s="9" t="s">
        <v>31</v>
      </c>
      <c r="T17" s="9">
        <v>6546.597</v>
      </c>
      <c r="V17" s="9" t="s">
        <v>31</v>
      </c>
      <c r="W17" s="9">
        <v>160.054</v>
      </c>
      <c r="Y17" s="9" t="s">
        <v>31</v>
      </c>
      <c r="Z17" s="9">
        <v>146.672</v>
      </c>
    </row>
    <row r="18" spans="1:26">
      <c r="A18" s="7">
        <v>42062</v>
      </c>
      <c r="B18">
        <v>6305.63</v>
      </c>
      <c r="D18" s="7">
        <v>42062</v>
      </c>
      <c r="E18">
        <v>2.465</v>
      </c>
      <c r="G18" s="7">
        <v>42062</v>
      </c>
      <c r="H18">
        <v>24823.29</v>
      </c>
      <c r="J18" s="7">
        <v>42062</v>
      </c>
      <c r="K18">
        <v>2104.5</v>
      </c>
      <c r="M18" s="9" t="s">
        <v>32</v>
      </c>
      <c r="N18" s="9">
        <v>3572.843</v>
      </c>
      <c r="P18" s="9" t="s">
        <v>32</v>
      </c>
      <c r="Q18" s="9">
        <v>6018.463</v>
      </c>
      <c r="S18" s="9" t="s">
        <v>32</v>
      </c>
      <c r="T18" s="9">
        <v>7141.888</v>
      </c>
      <c r="V18" s="9" t="s">
        <v>32</v>
      </c>
      <c r="W18" s="9">
        <v>161.29</v>
      </c>
      <c r="Y18" s="9" t="s">
        <v>32</v>
      </c>
      <c r="Z18" s="9">
        <v>147.598</v>
      </c>
    </row>
    <row r="19" spans="1:26">
      <c r="A19" s="7">
        <v>42094</v>
      </c>
      <c r="B19">
        <v>6095.2</v>
      </c>
      <c r="D19" s="7">
        <v>42094</v>
      </c>
      <c r="E19">
        <v>2.366</v>
      </c>
      <c r="G19" s="7">
        <v>42094</v>
      </c>
      <c r="H19">
        <v>24900.89</v>
      </c>
      <c r="J19" s="7">
        <v>42094</v>
      </c>
      <c r="K19">
        <v>2067.89</v>
      </c>
      <c r="M19" s="9" t="s">
        <v>33</v>
      </c>
      <c r="N19" s="9">
        <v>4051.204</v>
      </c>
      <c r="P19" s="9" t="s">
        <v>33</v>
      </c>
      <c r="Q19" s="9">
        <v>7253.104</v>
      </c>
      <c r="S19" s="9" t="s">
        <v>33</v>
      </c>
      <c r="T19" s="9">
        <v>8780.739</v>
      </c>
      <c r="V19" s="9" t="s">
        <v>33</v>
      </c>
      <c r="W19" s="9">
        <v>159.81</v>
      </c>
      <c r="Y19" s="9" t="s">
        <v>33</v>
      </c>
      <c r="Z19" s="9">
        <v>147.966</v>
      </c>
    </row>
    <row r="20" spans="1:26">
      <c r="A20" s="7">
        <v>42124</v>
      </c>
      <c r="B20">
        <v>6256.56</v>
      </c>
      <c r="D20" s="7">
        <v>42124</v>
      </c>
      <c r="E20">
        <v>2.409</v>
      </c>
      <c r="G20" s="7">
        <v>42124</v>
      </c>
      <c r="H20">
        <v>28133</v>
      </c>
      <c r="J20" s="7">
        <v>42124</v>
      </c>
      <c r="K20">
        <v>2085.51</v>
      </c>
      <c r="M20" s="9" t="s">
        <v>34</v>
      </c>
      <c r="N20" s="9">
        <v>4749.886</v>
      </c>
      <c r="P20" s="9" t="s">
        <v>34</v>
      </c>
      <c r="Q20" s="9">
        <v>8469.673</v>
      </c>
      <c r="S20" s="9" t="s">
        <v>34</v>
      </c>
      <c r="T20" s="9">
        <v>10180.49</v>
      </c>
      <c r="V20" s="9" t="s">
        <v>34</v>
      </c>
      <c r="W20" s="9">
        <v>161.974</v>
      </c>
      <c r="Y20" s="9" t="s">
        <v>34</v>
      </c>
      <c r="Z20" s="9">
        <v>148.522</v>
      </c>
    </row>
    <row r="21" spans="1:26">
      <c r="A21" s="7">
        <v>42153</v>
      </c>
      <c r="B21">
        <v>6211.83</v>
      </c>
      <c r="D21" s="7">
        <v>42153</v>
      </c>
      <c r="E21">
        <v>2.381</v>
      </c>
      <c r="G21" s="7">
        <v>42153</v>
      </c>
      <c r="H21">
        <v>27424.19</v>
      </c>
      <c r="J21" s="7">
        <v>42153</v>
      </c>
      <c r="K21">
        <v>2107.39</v>
      </c>
      <c r="M21" s="9" t="s">
        <v>35</v>
      </c>
      <c r="N21" s="9">
        <v>4840.829</v>
      </c>
      <c r="P21" s="9" t="s">
        <v>35</v>
      </c>
      <c r="Q21" s="9">
        <v>9966.845</v>
      </c>
      <c r="S21" s="9" t="s">
        <v>35</v>
      </c>
      <c r="T21" s="9">
        <v>13027.21</v>
      </c>
      <c r="V21" s="9" t="s">
        <v>35</v>
      </c>
      <c r="W21" s="9">
        <v>162.645</v>
      </c>
      <c r="Y21" s="9" t="s">
        <v>35</v>
      </c>
      <c r="Z21" s="9">
        <v>148.911</v>
      </c>
    </row>
    <row r="22" spans="1:26">
      <c r="A22" s="7">
        <v>42185</v>
      </c>
      <c r="B22">
        <v>6152.16</v>
      </c>
      <c r="D22" s="7">
        <v>42185</v>
      </c>
      <c r="E22">
        <v>2.346</v>
      </c>
      <c r="G22" s="7">
        <v>42185</v>
      </c>
      <c r="H22">
        <v>26250.03</v>
      </c>
      <c r="J22" s="7">
        <v>42185</v>
      </c>
      <c r="K22">
        <v>2063.11</v>
      </c>
      <c r="M22" s="9" t="s">
        <v>36</v>
      </c>
      <c r="N22" s="9">
        <v>4472.998</v>
      </c>
      <c r="P22" s="9" t="s">
        <v>36</v>
      </c>
      <c r="Q22" s="9">
        <v>8906.02</v>
      </c>
      <c r="S22" s="9" t="s">
        <v>36</v>
      </c>
      <c r="T22" s="9">
        <v>11381.47</v>
      </c>
      <c r="V22" s="9" t="s">
        <v>36</v>
      </c>
      <c r="W22" s="9">
        <v>163.343</v>
      </c>
      <c r="Y22" s="9" t="s">
        <v>36</v>
      </c>
      <c r="Z22" s="9">
        <v>149.64</v>
      </c>
    </row>
    <row r="23" spans="1:26">
      <c r="A23" s="7">
        <v>42216</v>
      </c>
      <c r="B23">
        <v>6306.02</v>
      </c>
      <c r="D23" s="7">
        <v>42216</v>
      </c>
      <c r="E23">
        <v>2.167</v>
      </c>
      <c r="G23" s="7">
        <v>42216</v>
      </c>
      <c r="H23">
        <v>24636.28</v>
      </c>
      <c r="J23" s="7">
        <v>42216</v>
      </c>
      <c r="K23">
        <v>2103.84</v>
      </c>
      <c r="M23" s="9" t="s">
        <v>37</v>
      </c>
      <c r="N23" s="9">
        <v>3816.699</v>
      </c>
      <c r="P23" s="9" t="s">
        <v>37</v>
      </c>
      <c r="Q23" s="9">
        <v>7727.061</v>
      </c>
      <c r="S23" s="9" t="s">
        <v>37</v>
      </c>
      <c r="T23" s="9">
        <v>9223.636</v>
      </c>
      <c r="V23" s="9" t="s">
        <v>37</v>
      </c>
      <c r="W23" s="9">
        <v>165.33</v>
      </c>
      <c r="Y23" s="9" t="s">
        <v>37</v>
      </c>
      <c r="Z23" s="9">
        <v>150.295</v>
      </c>
    </row>
    <row r="24" spans="1:26">
      <c r="A24" s="7">
        <v>42247</v>
      </c>
      <c r="B24">
        <v>5720.62</v>
      </c>
      <c r="D24" s="7">
        <v>42247</v>
      </c>
      <c r="E24">
        <v>2.339</v>
      </c>
      <c r="G24" s="7">
        <v>42247</v>
      </c>
      <c r="H24">
        <v>21670.58</v>
      </c>
      <c r="J24" s="7">
        <v>42247</v>
      </c>
      <c r="K24">
        <v>1972.18</v>
      </c>
      <c r="M24" s="9" t="s">
        <v>38</v>
      </c>
      <c r="N24" s="9">
        <v>3366.536</v>
      </c>
      <c r="P24" s="9" t="s">
        <v>38</v>
      </c>
      <c r="Q24" s="9">
        <v>6581.313</v>
      </c>
      <c r="S24" s="9" t="s">
        <v>38</v>
      </c>
      <c r="T24" s="9">
        <v>7950.459</v>
      </c>
      <c r="V24" s="9" t="s">
        <v>38</v>
      </c>
      <c r="W24" s="9">
        <v>166.47</v>
      </c>
      <c r="Y24" s="9" t="s">
        <v>38</v>
      </c>
      <c r="Z24" s="9">
        <v>150.911</v>
      </c>
    </row>
    <row r="25" spans="1:26">
      <c r="A25" s="7">
        <v>42277</v>
      </c>
      <c r="B25">
        <v>5658.97</v>
      </c>
      <c r="D25" s="7">
        <v>42277</v>
      </c>
      <c r="E25">
        <v>2.314</v>
      </c>
      <c r="G25" s="7">
        <v>42277</v>
      </c>
      <c r="H25">
        <v>20846.3</v>
      </c>
      <c r="J25" s="7">
        <v>42277</v>
      </c>
      <c r="K25">
        <v>1920.03</v>
      </c>
      <c r="M25" s="9" t="s">
        <v>39</v>
      </c>
      <c r="N25" s="9">
        <v>3202.948</v>
      </c>
      <c r="P25" s="9" t="s">
        <v>39</v>
      </c>
      <c r="Q25" s="9">
        <v>6123.727</v>
      </c>
      <c r="S25" s="9" t="s">
        <v>39</v>
      </c>
      <c r="T25" s="9">
        <v>7727.509</v>
      </c>
      <c r="V25" s="9" t="s">
        <v>39</v>
      </c>
      <c r="W25" s="9">
        <v>167.535</v>
      </c>
      <c r="Y25" s="9" t="s">
        <v>39</v>
      </c>
      <c r="Z25" s="9">
        <v>151.623</v>
      </c>
    </row>
    <row r="26" spans="1:26">
      <c r="A26" s="7">
        <v>42307</v>
      </c>
      <c r="B26">
        <v>6012.52</v>
      </c>
      <c r="D26" s="7">
        <v>42307</v>
      </c>
      <c r="E26">
        <v>2.351</v>
      </c>
      <c r="G26" s="7">
        <v>42307</v>
      </c>
      <c r="H26">
        <v>22640.04</v>
      </c>
      <c r="J26" s="7">
        <v>42307</v>
      </c>
      <c r="K26">
        <v>2079.36</v>
      </c>
      <c r="M26" s="9" t="s">
        <v>40</v>
      </c>
      <c r="N26" s="9">
        <v>3534.079</v>
      </c>
      <c r="P26" s="9" t="s">
        <v>40</v>
      </c>
      <c r="Q26" s="9">
        <v>7084.971</v>
      </c>
      <c r="S26" s="9" t="s">
        <v>40</v>
      </c>
      <c r="T26" s="9">
        <v>9188.266</v>
      </c>
      <c r="V26" s="9" t="s">
        <v>40</v>
      </c>
      <c r="W26" s="9">
        <v>169.464</v>
      </c>
      <c r="Y26" s="9" t="s">
        <v>40</v>
      </c>
      <c r="Z26" s="9">
        <v>152.787</v>
      </c>
    </row>
    <row r="27" spans="1:26">
      <c r="A27" s="7">
        <v>42338</v>
      </c>
      <c r="B27">
        <v>5943.71</v>
      </c>
      <c r="D27" s="7">
        <v>42338</v>
      </c>
      <c r="E27">
        <v>2.183</v>
      </c>
      <c r="G27" s="7">
        <v>42338</v>
      </c>
      <c r="H27">
        <v>21996.42</v>
      </c>
      <c r="J27" s="7">
        <v>42338</v>
      </c>
      <c r="K27">
        <v>2080.41</v>
      </c>
      <c r="M27" s="9" t="s">
        <v>41</v>
      </c>
      <c r="N27" s="9">
        <v>3566.412</v>
      </c>
      <c r="P27" s="9" t="s">
        <v>41</v>
      </c>
      <c r="Q27" s="9">
        <v>7408.399</v>
      </c>
      <c r="S27" s="9" t="s">
        <v>41</v>
      </c>
      <c r="T27" s="9">
        <v>10001.19</v>
      </c>
      <c r="V27" s="9" t="s">
        <v>41</v>
      </c>
      <c r="W27" s="9">
        <v>169.446</v>
      </c>
      <c r="Y27" s="9" t="s">
        <v>41</v>
      </c>
      <c r="Z27" s="9">
        <v>153.091</v>
      </c>
    </row>
    <row r="28" spans="1:26">
      <c r="A28" s="7">
        <v>42369</v>
      </c>
      <c r="B28">
        <v>5909.7</v>
      </c>
      <c r="D28" s="7">
        <v>42369</v>
      </c>
      <c r="E28">
        <v>2.232</v>
      </c>
      <c r="G28" s="7">
        <v>42369</v>
      </c>
      <c r="H28">
        <v>21914.4</v>
      </c>
      <c r="J28" s="7">
        <v>42369</v>
      </c>
      <c r="K28">
        <v>2043.94</v>
      </c>
      <c r="M28" s="9" t="s">
        <v>42</v>
      </c>
      <c r="N28" s="9">
        <v>3731.005</v>
      </c>
      <c r="P28" s="9" t="s">
        <v>42</v>
      </c>
      <c r="Q28" s="9">
        <v>7617.689</v>
      </c>
      <c r="S28" s="9" t="s">
        <v>42</v>
      </c>
      <c r="T28" s="9">
        <v>10614.38</v>
      </c>
      <c r="V28" s="9" t="s">
        <v>42</v>
      </c>
      <c r="W28" s="9">
        <v>172.149</v>
      </c>
      <c r="Y28" s="9" t="s">
        <v>42</v>
      </c>
      <c r="Z28" s="9">
        <v>154.544</v>
      </c>
    </row>
    <row r="29" spans="1:26">
      <c r="A29" s="7">
        <v>42398</v>
      </c>
      <c r="B29">
        <v>5608.89</v>
      </c>
      <c r="D29" s="7">
        <v>42398</v>
      </c>
      <c r="E29">
        <v>2.363</v>
      </c>
      <c r="G29" s="7">
        <v>42398</v>
      </c>
      <c r="H29">
        <v>19683.11</v>
      </c>
      <c r="J29" s="7">
        <v>42398</v>
      </c>
      <c r="K29">
        <v>1940.24</v>
      </c>
      <c r="M29" s="9" t="s">
        <v>43</v>
      </c>
      <c r="N29" s="9">
        <v>2946.09</v>
      </c>
      <c r="P29" s="9" t="s">
        <v>43</v>
      </c>
      <c r="Q29" s="9">
        <v>5469.125</v>
      </c>
      <c r="S29" s="9" t="s">
        <v>43</v>
      </c>
      <c r="T29" s="9">
        <v>7385.759</v>
      </c>
      <c r="V29" s="9" t="s">
        <v>43</v>
      </c>
      <c r="W29" s="9">
        <v>172.533</v>
      </c>
      <c r="Y29" s="9" t="s">
        <v>43</v>
      </c>
      <c r="Z29" s="9">
        <v>155.201</v>
      </c>
    </row>
    <row r="30" spans="1:26">
      <c r="A30" s="7">
        <v>42429</v>
      </c>
      <c r="B30">
        <v>5813.3</v>
      </c>
      <c r="D30" s="7">
        <v>42429</v>
      </c>
      <c r="E30">
        <v>2.587</v>
      </c>
      <c r="G30" s="7">
        <v>42429</v>
      </c>
      <c r="H30">
        <v>19111.93</v>
      </c>
      <c r="J30" s="7">
        <v>42429</v>
      </c>
      <c r="K30">
        <v>1932.23</v>
      </c>
      <c r="M30" s="9" t="s">
        <v>44</v>
      </c>
      <c r="N30" s="9">
        <v>2877.467</v>
      </c>
      <c r="P30" s="9" t="s">
        <v>44</v>
      </c>
      <c r="Q30" s="9">
        <v>5350.434</v>
      </c>
      <c r="S30" s="9" t="s">
        <v>44</v>
      </c>
      <c r="T30" s="9">
        <v>7183.676</v>
      </c>
      <c r="V30" s="9" t="s">
        <v>44</v>
      </c>
      <c r="W30" s="9">
        <v>173.112</v>
      </c>
      <c r="Y30" s="9" t="s">
        <v>44</v>
      </c>
      <c r="Z30" s="9">
        <v>155.721</v>
      </c>
    </row>
    <row r="31" spans="1:26">
      <c r="A31" s="7">
        <v>42460</v>
      </c>
      <c r="B31">
        <v>5999.77</v>
      </c>
      <c r="D31" s="7">
        <v>42460</v>
      </c>
      <c r="E31">
        <v>2.548</v>
      </c>
      <c r="G31" s="7">
        <v>42460</v>
      </c>
      <c r="H31">
        <v>20776.7</v>
      </c>
      <c r="J31" s="7">
        <v>42460</v>
      </c>
      <c r="K31">
        <v>2059.74</v>
      </c>
      <c r="M31" s="9" t="s">
        <v>45</v>
      </c>
      <c r="N31" s="9">
        <v>3218.088</v>
      </c>
      <c r="P31" s="9" t="s">
        <v>45</v>
      </c>
      <c r="Q31" s="9">
        <v>6155.814</v>
      </c>
      <c r="S31" s="9" t="s">
        <v>45</v>
      </c>
      <c r="T31" s="9">
        <v>8447.179</v>
      </c>
      <c r="V31" s="9" t="s">
        <v>45</v>
      </c>
      <c r="W31" s="9">
        <v>174.312</v>
      </c>
      <c r="Y31" s="9" t="s">
        <v>45</v>
      </c>
      <c r="Z31" s="9">
        <v>156.625</v>
      </c>
    </row>
    <row r="32" spans="1:26">
      <c r="A32" s="7">
        <v>42489</v>
      </c>
      <c r="B32">
        <v>6134.97</v>
      </c>
      <c r="D32" s="7">
        <v>42489</v>
      </c>
      <c r="E32">
        <v>2.66</v>
      </c>
      <c r="G32" s="7">
        <v>42489</v>
      </c>
      <c r="H32">
        <v>21067.05</v>
      </c>
      <c r="J32" s="7">
        <v>42489</v>
      </c>
      <c r="K32">
        <v>2065.3</v>
      </c>
      <c r="M32" s="9" t="s">
        <v>46</v>
      </c>
      <c r="N32" s="9">
        <v>3156.745</v>
      </c>
      <c r="P32" s="9" t="s">
        <v>46</v>
      </c>
      <c r="Q32" s="9">
        <v>5985.594</v>
      </c>
      <c r="S32" s="9" t="s">
        <v>46</v>
      </c>
      <c r="T32" s="9">
        <v>8291.699</v>
      </c>
      <c r="V32" s="9" t="s">
        <v>46</v>
      </c>
      <c r="W32" s="9">
        <v>173.015</v>
      </c>
      <c r="Y32" s="9" t="s">
        <v>46</v>
      </c>
      <c r="Z32" s="9">
        <v>156.684</v>
      </c>
    </row>
    <row r="33" spans="1:26">
      <c r="A33" s="7">
        <v>42521</v>
      </c>
      <c r="B33">
        <v>6094.33</v>
      </c>
      <c r="D33" s="7">
        <v>42521</v>
      </c>
      <c r="E33">
        <v>2.576</v>
      </c>
      <c r="G33" s="7">
        <v>42521</v>
      </c>
      <c r="H33">
        <v>20815.09</v>
      </c>
      <c r="J33" s="7">
        <v>42521</v>
      </c>
      <c r="K33">
        <v>2096.96</v>
      </c>
      <c r="M33" s="9" t="s">
        <v>47</v>
      </c>
      <c r="N33" s="9">
        <v>3169.559</v>
      </c>
      <c r="P33" s="9" t="s">
        <v>47</v>
      </c>
      <c r="Q33" s="9">
        <v>5947.322</v>
      </c>
      <c r="S33" s="9" t="s">
        <v>47</v>
      </c>
      <c r="T33" s="9">
        <v>8197.557</v>
      </c>
      <c r="V33" s="9" t="s">
        <v>47</v>
      </c>
      <c r="W33" s="9">
        <v>173.698</v>
      </c>
      <c r="Y33" s="9" t="s">
        <v>47</v>
      </c>
      <c r="Z33" s="9">
        <v>157.183</v>
      </c>
    </row>
    <row r="34" spans="1:26">
      <c r="A34" s="7">
        <v>42551</v>
      </c>
      <c r="B34">
        <v>6431.32</v>
      </c>
      <c r="D34" s="7">
        <v>42551</v>
      </c>
      <c r="E34">
        <v>2.818</v>
      </c>
      <c r="G34" s="7">
        <v>42551</v>
      </c>
      <c r="H34">
        <v>20794.37</v>
      </c>
      <c r="J34" s="7">
        <v>42551</v>
      </c>
      <c r="K34">
        <v>2098.86</v>
      </c>
      <c r="M34" s="9" t="s">
        <v>48</v>
      </c>
      <c r="N34" s="9">
        <v>3153.921</v>
      </c>
      <c r="P34" s="9" t="s">
        <v>48</v>
      </c>
      <c r="Q34" s="9">
        <v>6123.494</v>
      </c>
      <c r="S34" s="9" t="s">
        <v>48</v>
      </c>
      <c r="T34" s="9">
        <v>8741.099</v>
      </c>
      <c r="V34" s="9" t="s">
        <v>48</v>
      </c>
      <c r="W34" s="9">
        <v>174.946</v>
      </c>
      <c r="Y34" s="9" t="s">
        <v>48</v>
      </c>
      <c r="Z34" s="9">
        <v>157.67</v>
      </c>
    </row>
    <row r="35" spans="1:26">
      <c r="A35" s="7">
        <v>42580</v>
      </c>
      <c r="B35">
        <v>6856.53</v>
      </c>
      <c r="D35" s="7">
        <v>42580</v>
      </c>
      <c r="E35">
        <v>2.859</v>
      </c>
      <c r="G35" s="7">
        <v>42580</v>
      </c>
      <c r="H35">
        <v>21891.37</v>
      </c>
      <c r="J35" s="7">
        <v>42580</v>
      </c>
      <c r="K35">
        <v>2173.6</v>
      </c>
      <c r="M35" s="9" t="s">
        <v>49</v>
      </c>
      <c r="N35" s="9">
        <v>3203.93</v>
      </c>
      <c r="P35" s="9" t="s">
        <v>49</v>
      </c>
      <c r="Q35" s="9">
        <v>6202.892</v>
      </c>
      <c r="S35" s="9" t="s">
        <v>49</v>
      </c>
      <c r="T35" s="9">
        <v>8501.09</v>
      </c>
      <c r="V35" s="9" t="s">
        <v>49</v>
      </c>
      <c r="W35" s="9">
        <v>176.656</v>
      </c>
      <c r="Y35" s="9" t="s">
        <v>49</v>
      </c>
      <c r="Z35" s="9">
        <v>158.444</v>
      </c>
    </row>
    <row r="36" spans="1:26">
      <c r="A36" s="7">
        <v>42613</v>
      </c>
      <c r="B36">
        <v>7025.66</v>
      </c>
      <c r="D36" s="7">
        <v>42613</v>
      </c>
      <c r="E36">
        <v>2.823</v>
      </c>
      <c r="G36" s="7">
        <v>42613</v>
      </c>
      <c r="H36">
        <v>22976.88</v>
      </c>
      <c r="J36" s="7">
        <v>42613</v>
      </c>
      <c r="K36">
        <v>2170.95</v>
      </c>
      <c r="M36" s="9" t="s">
        <v>50</v>
      </c>
      <c r="N36" s="9">
        <v>3327.794</v>
      </c>
      <c r="P36" s="9" t="s">
        <v>50</v>
      </c>
      <c r="Q36" s="9">
        <v>6434.21</v>
      </c>
      <c r="S36" s="9" t="s">
        <v>50</v>
      </c>
      <c r="T36" s="9">
        <v>8838.38</v>
      </c>
      <c r="V36" s="9" t="s">
        <v>50</v>
      </c>
      <c r="W36" s="9">
        <v>177.845</v>
      </c>
      <c r="Y36" s="9" t="s">
        <v>50</v>
      </c>
      <c r="Z36" s="9">
        <v>159.219</v>
      </c>
    </row>
    <row r="37" spans="1:26">
      <c r="A37" s="7">
        <v>42643</v>
      </c>
      <c r="B37">
        <v>6858.4</v>
      </c>
      <c r="D37" s="7">
        <v>42643</v>
      </c>
      <c r="E37">
        <v>2.843</v>
      </c>
      <c r="G37" s="7">
        <v>42643</v>
      </c>
      <c r="H37">
        <v>23297.15</v>
      </c>
      <c r="J37" s="7">
        <v>42643</v>
      </c>
      <c r="K37">
        <v>2168.27</v>
      </c>
      <c r="M37" s="9" t="s">
        <v>51</v>
      </c>
      <c r="N37" s="9">
        <v>3253.285</v>
      </c>
      <c r="P37" s="9" t="s">
        <v>51</v>
      </c>
      <c r="Q37" s="9">
        <v>6328.086</v>
      </c>
      <c r="S37" s="9" t="s">
        <v>51</v>
      </c>
      <c r="T37" s="9">
        <v>8661.019</v>
      </c>
      <c r="V37" s="9" t="s">
        <v>51</v>
      </c>
      <c r="W37" s="9">
        <v>178.793</v>
      </c>
      <c r="Y37" s="9" t="s">
        <v>51</v>
      </c>
      <c r="Z37" s="9">
        <v>159.728</v>
      </c>
    </row>
    <row r="38" spans="1:26">
      <c r="A38" s="7">
        <v>42674</v>
      </c>
      <c r="B38">
        <v>6589.24</v>
      </c>
      <c r="D38" s="7">
        <v>42674</v>
      </c>
      <c r="E38">
        <v>2.788</v>
      </c>
      <c r="G38" s="7">
        <v>42674</v>
      </c>
      <c r="H38">
        <v>22934.54</v>
      </c>
      <c r="J38" s="7">
        <v>42674</v>
      </c>
      <c r="K38">
        <v>2126.15</v>
      </c>
      <c r="M38" s="9" t="s">
        <v>52</v>
      </c>
      <c r="N38" s="9">
        <v>3336.278</v>
      </c>
      <c r="P38" s="9" t="s">
        <v>52</v>
      </c>
      <c r="Q38" s="9">
        <v>6452.206</v>
      </c>
      <c r="S38" s="9" t="s">
        <v>52</v>
      </c>
      <c r="T38" s="9">
        <v>8910.508</v>
      </c>
      <c r="V38" s="9" t="s">
        <v>52</v>
      </c>
      <c r="W38" s="9">
        <v>179.732</v>
      </c>
      <c r="Y38" s="9" t="s">
        <v>52</v>
      </c>
      <c r="Z38" s="9">
        <v>160.722</v>
      </c>
    </row>
    <row r="39" spans="1:26">
      <c r="A39" s="7">
        <v>42704</v>
      </c>
      <c r="B39">
        <v>6457.41</v>
      </c>
      <c r="D39" s="7">
        <v>42704</v>
      </c>
      <c r="E39">
        <v>2.652</v>
      </c>
      <c r="G39" s="7">
        <v>42704</v>
      </c>
      <c r="H39">
        <v>22789.77</v>
      </c>
      <c r="J39" s="7">
        <v>42704</v>
      </c>
      <c r="K39">
        <v>2198.81</v>
      </c>
      <c r="M39" s="9" t="s">
        <v>53</v>
      </c>
      <c r="N39" s="9">
        <v>3538.001</v>
      </c>
      <c r="P39" s="9" t="s">
        <v>53</v>
      </c>
      <c r="Q39" s="9">
        <v>6585.578</v>
      </c>
      <c r="S39" s="9" t="s">
        <v>53</v>
      </c>
      <c r="T39" s="9">
        <v>9014.913</v>
      </c>
      <c r="V39" s="9" t="s">
        <v>53</v>
      </c>
      <c r="W39" s="9">
        <v>178.291</v>
      </c>
      <c r="Y39" s="9" t="s">
        <v>53</v>
      </c>
      <c r="Z39" s="9">
        <v>160.362</v>
      </c>
    </row>
    <row r="40" spans="1:26">
      <c r="A40" s="7">
        <v>42734</v>
      </c>
      <c r="B40">
        <v>6187.01</v>
      </c>
      <c r="D40" s="7">
        <v>42734</v>
      </c>
      <c r="E40">
        <v>2.636</v>
      </c>
      <c r="G40" s="7">
        <v>42734</v>
      </c>
      <c r="H40">
        <v>22000.56</v>
      </c>
      <c r="J40" s="7">
        <v>42734</v>
      </c>
      <c r="K40">
        <v>2238.83</v>
      </c>
      <c r="M40" s="9" t="s">
        <v>54</v>
      </c>
      <c r="N40" s="9">
        <v>3310.081</v>
      </c>
      <c r="P40" s="9" t="s">
        <v>54</v>
      </c>
      <c r="Q40" s="9">
        <v>6263.626</v>
      </c>
      <c r="S40" s="9" t="s">
        <v>54</v>
      </c>
      <c r="T40" s="9">
        <v>8490.861</v>
      </c>
      <c r="V40" s="9" t="s">
        <v>54</v>
      </c>
      <c r="W40" s="9">
        <v>175.595</v>
      </c>
      <c r="Y40" s="9" t="s">
        <v>54</v>
      </c>
      <c r="Z40" s="9">
        <v>159.785</v>
      </c>
    </row>
    <row r="41" spans="1:26">
      <c r="A41" s="7">
        <v>42761</v>
      </c>
      <c r="B41">
        <v>6336.08</v>
      </c>
      <c r="D41" s="7">
        <v>42761</v>
      </c>
      <c r="E41">
        <v>2.641</v>
      </c>
      <c r="G41" s="7">
        <v>42761</v>
      </c>
      <c r="H41">
        <v>23360.78</v>
      </c>
      <c r="J41" s="7">
        <v>42761</v>
      </c>
      <c r="K41">
        <v>2278.87</v>
      </c>
      <c r="M41" s="9" t="s">
        <v>55</v>
      </c>
      <c r="N41" s="9">
        <v>3387.961</v>
      </c>
      <c r="P41" s="9" t="s">
        <v>55</v>
      </c>
      <c r="Q41" s="9">
        <v>6223.706</v>
      </c>
      <c r="S41" s="9" t="s">
        <v>55</v>
      </c>
      <c r="T41" s="9">
        <v>8205.871</v>
      </c>
      <c r="V41" s="9" t="s">
        <v>55</v>
      </c>
      <c r="W41" s="9">
        <v>175.204</v>
      </c>
      <c r="Y41" s="9" t="s">
        <v>55</v>
      </c>
      <c r="Z41" s="9">
        <v>159.706</v>
      </c>
    </row>
    <row r="42" spans="1:26">
      <c r="A42" s="7">
        <v>42794</v>
      </c>
      <c r="B42">
        <v>6452.52</v>
      </c>
      <c r="D42" s="7">
        <v>42794</v>
      </c>
      <c r="E42">
        <v>2.774</v>
      </c>
      <c r="G42" s="7">
        <v>42794</v>
      </c>
      <c r="H42">
        <v>23740.73</v>
      </c>
      <c r="J42" s="7">
        <v>42794</v>
      </c>
      <c r="K42">
        <v>2363.64</v>
      </c>
      <c r="M42" s="9" t="s">
        <v>56</v>
      </c>
      <c r="N42" s="9">
        <v>3452.81</v>
      </c>
      <c r="P42" s="9" t="s">
        <v>56</v>
      </c>
      <c r="Q42" s="9">
        <v>6450.97</v>
      </c>
      <c r="S42" s="9" t="s">
        <v>56</v>
      </c>
      <c r="T42" s="9">
        <v>8508.086</v>
      </c>
      <c r="V42" s="9" t="s">
        <v>56</v>
      </c>
      <c r="W42" s="9">
        <v>174.896</v>
      </c>
      <c r="Y42" s="9" t="s">
        <v>56</v>
      </c>
      <c r="Z42" s="9">
        <v>160.022</v>
      </c>
    </row>
    <row r="43" spans="1:26">
      <c r="A43" s="7">
        <v>42825</v>
      </c>
      <c r="B43">
        <v>6514.86</v>
      </c>
      <c r="D43" s="7">
        <v>42825</v>
      </c>
      <c r="E43">
        <v>2.761</v>
      </c>
      <c r="G43" s="7">
        <v>42825</v>
      </c>
      <c r="H43">
        <v>24111.59</v>
      </c>
      <c r="J43" s="7">
        <v>42825</v>
      </c>
      <c r="K43">
        <v>2362.72</v>
      </c>
      <c r="M43" s="9" t="s">
        <v>57</v>
      </c>
      <c r="N43" s="9">
        <v>3456.046</v>
      </c>
      <c r="P43" s="9" t="s">
        <v>57</v>
      </c>
      <c r="Q43" s="9">
        <v>6401.648</v>
      </c>
      <c r="S43" s="9" t="s">
        <v>57</v>
      </c>
      <c r="T43" s="9">
        <v>8339.146</v>
      </c>
      <c r="V43" s="9" t="s">
        <v>57</v>
      </c>
      <c r="W43" s="9">
        <v>175.015</v>
      </c>
      <c r="Y43" s="9" t="s">
        <v>57</v>
      </c>
      <c r="Z43" s="9">
        <v>160.18</v>
      </c>
    </row>
    <row r="44" spans="1:26">
      <c r="A44" s="7">
        <v>42853</v>
      </c>
      <c r="B44">
        <v>6686.99</v>
      </c>
      <c r="D44" s="7">
        <v>42853</v>
      </c>
      <c r="E44">
        <v>2.812</v>
      </c>
      <c r="G44" s="7">
        <v>42853</v>
      </c>
      <c r="H44">
        <v>24615.13</v>
      </c>
      <c r="J44" s="7">
        <v>42853</v>
      </c>
      <c r="K44">
        <v>2384.2</v>
      </c>
      <c r="M44" s="9" t="s">
        <v>58</v>
      </c>
      <c r="N44" s="9">
        <v>3439.753</v>
      </c>
      <c r="P44" s="9" t="s">
        <v>58</v>
      </c>
      <c r="Q44" s="9">
        <v>6211.862</v>
      </c>
      <c r="S44" s="9" t="s">
        <v>58</v>
      </c>
      <c r="T44" s="9">
        <v>7842.082</v>
      </c>
      <c r="V44" s="9" t="s">
        <v>58</v>
      </c>
      <c r="W44" s="9">
        <v>174.304</v>
      </c>
      <c r="Y44" s="9" t="s">
        <v>58</v>
      </c>
      <c r="Z44" s="9">
        <v>160.614</v>
      </c>
    </row>
    <row r="45" spans="1:26">
      <c r="A45" s="7">
        <v>42886</v>
      </c>
      <c r="B45">
        <v>6937.64</v>
      </c>
      <c r="D45" s="7">
        <v>42886</v>
      </c>
      <c r="E45">
        <v>2.775</v>
      </c>
      <c r="G45" s="7">
        <v>42886</v>
      </c>
      <c r="H45">
        <v>25660.65</v>
      </c>
      <c r="J45" s="7">
        <v>42886</v>
      </c>
      <c r="K45">
        <v>2411.8</v>
      </c>
      <c r="M45" s="9" t="s">
        <v>59</v>
      </c>
      <c r="N45" s="9">
        <v>3492.885</v>
      </c>
      <c r="P45" s="9" t="s">
        <v>59</v>
      </c>
      <c r="Q45" s="9">
        <v>5824.104</v>
      </c>
      <c r="S45" s="9" t="s">
        <v>59</v>
      </c>
      <c r="T45" s="9">
        <v>7212.696</v>
      </c>
      <c r="V45" s="9" t="s">
        <v>59</v>
      </c>
      <c r="W45" s="9">
        <v>173.162</v>
      </c>
      <c r="Y45" s="9" t="s">
        <v>59</v>
      </c>
      <c r="Z45" s="9">
        <v>160.154</v>
      </c>
    </row>
    <row r="46" spans="1:26">
      <c r="A46" s="7">
        <v>42916</v>
      </c>
      <c r="B46">
        <v>6970.83</v>
      </c>
      <c r="D46" s="7">
        <v>42916</v>
      </c>
      <c r="E46">
        <v>2.714</v>
      </c>
      <c r="G46" s="7">
        <v>42916</v>
      </c>
      <c r="H46">
        <v>25764.58</v>
      </c>
      <c r="J46" s="7">
        <v>42916</v>
      </c>
      <c r="K46">
        <v>2423.41</v>
      </c>
      <c r="M46" s="9" t="s">
        <v>60</v>
      </c>
      <c r="N46" s="9">
        <v>3666.798</v>
      </c>
      <c r="P46" s="9" t="s">
        <v>60</v>
      </c>
      <c r="Q46" s="9">
        <v>6138.156</v>
      </c>
      <c r="S46" s="9" t="s">
        <v>60</v>
      </c>
      <c r="T46" s="9">
        <v>7465.762</v>
      </c>
      <c r="V46" s="9" t="s">
        <v>60</v>
      </c>
      <c r="W46" s="9">
        <v>175.245</v>
      </c>
      <c r="Y46" s="9" t="s">
        <v>60</v>
      </c>
      <c r="Z46" s="9">
        <v>160.411</v>
      </c>
    </row>
    <row r="47" spans="1:26">
      <c r="A47" s="7">
        <v>42947</v>
      </c>
      <c r="B47">
        <v>7404.29</v>
      </c>
      <c r="D47" s="7">
        <v>42947</v>
      </c>
      <c r="E47">
        <v>2.742</v>
      </c>
      <c r="G47" s="7">
        <v>42947</v>
      </c>
      <c r="H47">
        <v>27323.99</v>
      </c>
      <c r="J47" s="7">
        <v>42947</v>
      </c>
      <c r="K47">
        <v>2470.3</v>
      </c>
      <c r="M47" s="9" t="s">
        <v>61</v>
      </c>
      <c r="N47" s="9">
        <v>3737.873</v>
      </c>
      <c r="P47" s="9" t="s">
        <v>61</v>
      </c>
      <c r="Q47" s="9">
        <v>6298</v>
      </c>
      <c r="S47" s="9" t="s">
        <v>61</v>
      </c>
      <c r="T47" s="9">
        <v>7444.957</v>
      </c>
      <c r="V47" s="9" t="s">
        <v>61</v>
      </c>
      <c r="W47" s="9">
        <v>175.789</v>
      </c>
      <c r="Y47" s="9" t="s">
        <v>61</v>
      </c>
      <c r="Z47" s="9">
        <v>160.363</v>
      </c>
    </row>
    <row r="48" spans="1:26">
      <c r="A48" s="7">
        <v>42978</v>
      </c>
      <c r="B48">
        <v>7309.48</v>
      </c>
      <c r="D48" s="7">
        <v>42978</v>
      </c>
      <c r="E48">
        <v>2.756</v>
      </c>
      <c r="G48" s="7">
        <v>42978</v>
      </c>
      <c r="H48">
        <v>27970.3</v>
      </c>
      <c r="J48" s="7">
        <v>42978</v>
      </c>
      <c r="K48">
        <v>2471.65</v>
      </c>
      <c r="M48" s="9" t="s">
        <v>62</v>
      </c>
      <c r="N48" s="9">
        <v>3822.093</v>
      </c>
      <c r="P48" s="9" t="s">
        <v>62</v>
      </c>
      <c r="Q48" s="9">
        <v>6470.426</v>
      </c>
      <c r="S48" s="9" t="s">
        <v>62</v>
      </c>
      <c r="T48" s="9">
        <v>7679.871</v>
      </c>
      <c r="V48" s="9" t="s">
        <v>62</v>
      </c>
      <c r="W48" s="9">
        <v>175.433</v>
      </c>
      <c r="Y48" s="9" t="s">
        <v>62</v>
      </c>
      <c r="Z48" s="9">
        <v>160.712</v>
      </c>
    </row>
    <row r="49" spans="1:26">
      <c r="A49" s="7">
        <v>43007</v>
      </c>
      <c r="B49">
        <v>7086.66</v>
      </c>
      <c r="D49" s="7">
        <v>43007</v>
      </c>
      <c r="E49">
        <v>2.742</v>
      </c>
      <c r="G49" s="7">
        <v>43007</v>
      </c>
      <c r="H49">
        <v>27554.3</v>
      </c>
      <c r="J49" s="7">
        <v>43007</v>
      </c>
      <c r="K49">
        <v>2519.36</v>
      </c>
      <c r="M49" s="9" t="s">
        <v>63</v>
      </c>
      <c r="N49" s="9">
        <v>3836.501</v>
      </c>
      <c r="P49" s="9" t="s">
        <v>63</v>
      </c>
      <c r="Q49" s="9">
        <v>6603.259</v>
      </c>
      <c r="S49" s="9" t="s">
        <v>63</v>
      </c>
      <c r="T49" s="9">
        <v>7842.586</v>
      </c>
      <c r="V49" s="9" t="s">
        <v>63</v>
      </c>
      <c r="W49" s="9">
        <v>176.224</v>
      </c>
      <c r="Y49" s="9" t="s">
        <v>63</v>
      </c>
      <c r="Z49" s="9">
        <v>160.694</v>
      </c>
    </row>
    <row r="50" spans="1:26">
      <c r="A50" s="7">
        <v>43039</v>
      </c>
      <c r="B50">
        <v>7238.35</v>
      </c>
      <c r="D50" s="7">
        <v>43039</v>
      </c>
      <c r="E50">
        <v>2.718</v>
      </c>
      <c r="G50" s="7">
        <v>43039</v>
      </c>
      <c r="H50">
        <v>28245.54</v>
      </c>
      <c r="J50" s="7">
        <v>43039</v>
      </c>
      <c r="K50">
        <v>2575.26</v>
      </c>
      <c r="M50" s="9" t="s">
        <v>64</v>
      </c>
      <c r="N50" s="9">
        <v>4006.718</v>
      </c>
      <c r="P50" s="9" t="s">
        <v>64</v>
      </c>
      <c r="Q50" s="9">
        <v>6560.205</v>
      </c>
      <c r="S50" s="9" t="s">
        <v>64</v>
      </c>
      <c r="T50" s="9">
        <v>7631.533</v>
      </c>
      <c r="V50" s="9" t="s">
        <v>64</v>
      </c>
      <c r="W50" s="9">
        <v>175.516</v>
      </c>
      <c r="Y50" s="9" t="s">
        <v>64</v>
      </c>
      <c r="Z50" s="9">
        <v>160.813</v>
      </c>
    </row>
    <row r="51" spans="1:26">
      <c r="A51" s="7">
        <v>43069</v>
      </c>
      <c r="B51">
        <v>7448.04</v>
      </c>
      <c r="D51" s="7">
        <v>43069</v>
      </c>
      <c r="E51">
        <v>2.72</v>
      </c>
      <c r="G51" s="7">
        <v>43069</v>
      </c>
      <c r="H51">
        <v>29177.35</v>
      </c>
      <c r="J51" s="7">
        <v>43069</v>
      </c>
      <c r="K51">
        <v>2647.58</v>
      </c>
      <c r="M51" s="9" t="s">
        <v>65</v>
      </c>
      <c r="N51" s="9">
        <v>4006.099</v>
      </c>
      <c r="P51" s="9" t="s">
        <v>65</v>
      </c>
      <c r="Q51" s="9">
        <v>6263.421</v>
      </c>
      <c r="S51" s="9" t="s">
        <v>65</v>
      </c>
      <c r="T51" s="9">
        <v>7153.573</v>
      </c>
      <c r="V51" s="9" t="s">
        <v>65</v>
      </c>
      <c r="W51" s="9">
        <v>174.557</v>
      </c>
      <c r="Y51" s="9" t="s">
        <v>65</v>
      </c>
      <c r="Z51" s="9">
        <v>160.806</v>
      </c>
    </row>
    <row r="52" spans="1:26">
      <c r="A52" s="7">
        <v>43098</v>
      </c>
      <c r="B52">
        <v>7511.6</v>
      </c>
      <c r="D52" s="7">
        <v>43098</v>
      </c>
      <c r="E52">
        <v>2.708</v>
      </c>
      <c r="G52" s="7">
        <v>43098</v>
      </c>
      <c r="H52">
        <v>29919.15</v>
      </c>
      <c r="J52" s="7">
        <v>43098</v>
      </c>
      <c r="K52">
        <v>2673.61</v>
      </c>
      <c r="M52" s="9" t="s">
        <v>66</v>
      </c>
      <c r="N52" s="9">
        <v>4030.855</v>
      </c>
      <c r="P52" s="9" t="s">
        <v>66</v>
      </c>
      <c r="Q52" s="9">
        <v>6250.821</v>
      </c>
      <c r="S52" s="9" t="s">
        <v>66</v>
      </c>
      <c r="T52" s="9">
        <v>7017.351</v>
      </c>
      <c r="V52" s="9" t="s">
        <v>66</v>
      </c>
      <c r="W52" s="9">
        <v>175.001</v>
      </c>
      <c r="Y52" s="9" t="s">
        <v>66</v>
      </c>
      <c r="Z52" s="9">
        <v>160.848</v>
      </c>
    </row>
    <row r="53" spans="1:26">
      <c r="A53" s="7">
        <v>43131</v>
      </c>
      <c r="B53">
        <v>7607.83</v>
      </c>
      <c r="D53" s="7">
        <v>43131</v>
      </c>
      <c r="E53">
        <v>2.735</v>
      </c>
      <c r="G53" s="7">
        <v>43131</v>
      </c>
      <c r="H53">
        <v>32887.27</v>
      </c>
      <c r="J53" s="7">
        <v>43131</v>
      </c>
      <c r="K53">
        <v>2823.81</v>
      </c>
      <c r="M53" s="9" t="s">
        <v>67</v>
      </c>
      <c r="N53" s="9">
        <v>4275.899</v>
      </c>
      <c r="P53" s="9" t="s">
        <v>67</v>
      </c>
      <c r="Q53" s="9">
        <v>6189.341</v>
      </c>
      <c r="S53" s="9" t="s">
        <v>67</v>
      </c>
      <c r="T53" s="9">
        <v>6791.009</v>
      </c>
      <c r="V53" s="9" t="s">
        <v>67</v>
      </c>
      <c r="W53" s="9">
        <v>175.448</v>
      </c>
      <c r="Y53" s="9" t="s">
        <v>67</v>
      </c>
      <c r="Z53" s="9">
        <v>161.273</v>
      </c>
    </row>
    <row r="54" spans="1:26">
      <c r="A54" s="7">
        <v>43159</v>
      </c>
      <c r="B54">
        <v>7446.81</v>
      </c>
      <c r="D54" s="7">
        <v>43159</v>
      </c>
      <c r="E54">
        <v>2.692</v>
      </c>
      <c r="G54" s="7">
        <v>43159</v>
      </c>
      <c r="H54">
        <v>30844.72</v>
      </c>
      <c r="J54" s="7">
        <v>43159</v>
      </c>
      <c r="K54">
        <v>2713.83</v>
      </c>
      <c r="M54" s="9" t="s">
        <v>68</v>
      </c>
      <c r="N54" s="9">
        <v>4023.642</v>
      </c>
      <c r="P54" s="9" t="s">
        <v>68</v>
      </c>
      <c r="Q54" s="9">
        <v>6023.677</v>
      </c>
      <c r="S54" s="9" t="s">
        <v>68</v>
      </c>
      <c r="T54" s="9">
        <v>6563.808</v>
      </c>
      <c r="V54" s="9" t="s">
        <v>68</v>
      </c>
      <c r="W54" s="9">
        <v>177.024</v>
      </c>
      <c r="Y54" s="9" t="s">
        <v>68</v>
      </c>
      <c r="Z54" s="9">
        <v>162.047</v>
      </c>
    </row>
    <row r="55" spans="1:26">
      <c r="A55" s="7">
        <v>43189</v>
      </c>
      <c r="B55">
        <v>7466.76</v>
      </c>
      <c r="D55" s="7">
        <v>43189</v>
      </c>
      <c r="E55">
        <v>2.692</v>
      </c>
      <c r="G55" s="7">
        <v>43189</v>
      </c>
      <c r="H55">
        <v>30093.38</v>
      </c>
      <c r="J55" s="7">
        <v>43189</v>
      </c>
      <c r="K55">
        <v>2640.87</v>
      </c>
      <c r="M55" s="9" t="s">
        <v>69</v>
      </c>
      <c r="N55" s="9">
        <v>3898.498</v>
      </c>
      <c r="P55" s="9" t="s">
        <v>69</v>
      </c>
      <c r="Q55" s="9">
        <v>6114.738</v>
      </c>
      <c r="S55" s="9" t="s">
        <v>69</v>
      </c>
      <c r="T55" s="9">
        <v>6798.668</v>
      </c>
      <c r="V55" s="9" t="s">
        <v>69</v>
      </c>
      <c r="W55" s="9">
        <v>178.753</v>
      </c>
      <c r="Y55" s="9" t="s">
        <v>69</v>
      </c>
      <c r="Z55" s="9">
        <v>162.963</v>
      </c>
    </row>
    <row r="56" spans="1:26">
      <c r="A56" s="7">
        <v>43217</v>
      </c>
      <c r="B56">
        <v>7421.38</v>
      </c>
      <c r="D56" s="7">
        <v>43217</v>
      </c>
      <c r="E56">
        <v>2.692</v>
      </c>
      <c r="G56" s="7">
        <v>43217</v>
      </c>
      <c r="H56">
        <v>30808.45</v>
      </c>
      <c r="J56" s="7">
        <v>43217</v>
      </c>
      <c r="K56">
        <v>2648.05</v>
      </c>
      <c r="M56" s="9" t="s">
        <v>70</v>
      </c>
      <c r="N56" s="9">
        <v>3756.876</v>
      </c>
      <c r="P56" s="9" t="s">
        <v>70</v>
      </c>
      <c r="Q56" s="9">
        <v>5860.984</v>
      </c>
      <c r="S56" s="9" t="s">
        <v>70</v>
      </c>
      <c r="T56" s="9">
        <v>6517.054</v>
      </c>
      <c r="V56" s="9" t="s">
        <v>70</v>
      </c>
      <c r="W56" s="9">
        <v>181.106</v>
      </c>
      <c r="Y56" s="9" t="s">
        <v>70</v>
      </c>
      <c r="Z56" s="9">
        <v>163.922</v>
      </c>
    </row>
    <row r="57" spans="1:26">
      <c r="A57" s="7">
        <v>43251</v>
      </c>
      <c r="B57">
        <v>7523.91</v>
      </c>
      <c r="D57" s="7">
        <v>43251</v>
      </c>
      <c r="E57">
        <v>2.686</v>
      </c>
      <c r="G57" s="7">
        <v>43251</v>
      </c>
      <c r="H57">
        <v>30468.56</v>
      </c>
      <c r="J57" s="7">
        <v>43251</v>
      </c>
      <c r="K57">
        <v>2705.27</v>
      </c>
      <c r="M57" s="9" t="s">
        <v>71</v>
      </c>
      <c r="N57" s="9">
        <v>3802.376</v>
      </c>
      <c r="P57" s="9" t="s">
        <v>71</v>
      </c>
      <c r="Q57" s="9">
        <v>5754.475</v>
      </c>
      <c r="S57" s="9" t="s">
        <v>71</v>
      </c>
      <c r="T57" s="9">
        <v>6315.172</v>
      </c>
      <c r="V57" s="9" t="s">
        <v>71</v>
      </c>
      <c r="W57" s="9">
        <v>181.406</v>
      </c>
      <c r="Y57" s="9" t="s">
        <v>71</v>
      </c>
      <c r="Z57" s="9">
        <v>164.699</v>
      </c>
    </row>
    <row r="58" spans="1:26">
      <c r="A58" s="7">
        <v>43280</v>
      </c>
      <c r="B58">
        <v>7346.08</v>
      </c>
      <c r="D58" s="7">
        <v>43280</v>
      </c>
      <c r="E58">
        <v>2.661</v>
      </c>
      <c r="G58" s="7">
        <v>43280</v>
      </c>
      <c r="H58">
        <v>28955.11</v>
      </c>
      <c r="J58" s="7">
        <v>43280</v>
      </c>
      <c r="K58">
        <v>2718.37</v>
      </c>
      <c r="M58" s="9" t="s">
        <v>72</v>
      </c>
      <c r="N58" s="9">
        <v>3510.985</v>
      </c>
      <c r="P58" s="9" t="s">
        <v>72</v>
      </c>
      <c r="Q58" s="9">
        <v>5217.764</v>
      </c>
      <c r="S58" s="9" t="s">
        <v>72</v>
      </c>
      <c r="T58" s="9">
        <v>5608.536</v>
      </c>
      <c r="V58" s="9" t="s">
        <v>72</v>
      </c>
      <c r="W58" s="9">
        <v>182.62</v>
      </c>
      <c r="Y58" s="9" t="s">
        <v>72</v>
      </c>
      <c r="Z58" s="9">
        <v>165.444</v>
      </c>
    </row>
    <row r="59" spans="1:26">
      <c r="A59" s="7">
        <v>43312</v>
      </c>
      <c r="B59">
        <v>7577.97</v>
      </c>
      <c r="D59" s="7">
        <v>43312</v>
      </c>
      <c r="E59">
        <v>2.673</v>
      </c>
      <c r="G59" s="7">
        <v>43312</v>
      </c>
      <c r="H59">
        <v>28583.01</v>
      </c>
      <c r="J59" s="7">
        <v>43312</v>
      </c>
      <c r="K59">
        <v>2816.29</v>
      </c>
      <c r="M59" s="9" t="s">
        <v>73</v>
      </c>
      <c r="N59" s="9">
        <v>3517.657</v>
      </c>
      <c r="P59" s="9" t="s">
        <v>73</v>
      </c>
      <c r="Q59" s="9">
        <v>5188.717</v>
      </c>
      <c r="S59" s="9" t="s">
        <v>73</v>
      </c>
      <c r="T59" s="9">
        <v>5542.543</v>
      </c>
      <c r="V59" s="9" t="s">
        <v>73</v>
      </c>
      <c r="W59" s="9">
        <v>184.757</v>
      </c>
      <c r="Y59" s="9" t="s">
        <v>73</v>
      </c>
      <c r="Z59" s="9">
        <v>166.415</v>
      </c>
    </row>
    <row r="60" spans="1:26">
      <c r="A60" s="7">
        <v>43343</v>
      </c>
      <c r="B60">
        <v>7580.52</v>
      </c>
      <c r="D60" s="7">
        <v>43343</v>
      </c>
      <c r="E60">
        <v>2.646</v>
      </c>
      <c r="G60" s="7">
        <v>43343</v>
      </c>
      <c r="H60">
        <v>27888.55</v>
      </c>
      <c r="J60" s="7">
        <v>43343</v>
      </c>
      <c r="K60">
        <v>2901.52</v>
      </c>
      <c r="M60" s="9" t="s">
        <v>74</v>
      </c>
      <c r="N60" s="9">
        <v>3334.504</v>
      </c>
      <c r="P60" s="9" t="s">
        <v>74</v>
      </c>
      <c r="Q60" s="9">
        <v>4814.824</v>
      </c>
      <c r="S60" s="9" t="s">
        <v>74</v>
      </c>
      <c r="T60" s="9">
        <v>5057.985</v>
      </c>
      <c r="V60" s="9" t="s">
        <v>74</v>
      </c>
      <c r="W60" s="9">
        <v>184.656</v>
      </c>
      <c r="Y60" s="9" t="s">
        <v>74</v>
      </c>
      <c r="Z60" s="9">
        <v>166.595</v>
      </c>
    </row>
    <row r="61" spans="1:26">
      <c r="A61" s="7">
        <v>43371</v>
      </c>
      <c r="B61">
        <v>7413.43</v>
      </c>
      <c r="D61" s="7">
        <v>43371</v>
      </c>
      <c r="E61">
        <v>2.623</v>
      </c>
      <c r="G61" s="7">
        <v>43371</v>
      </c>
      <c r="H61">
        <v>27788.52</v>
      </c>
      <c r="J61" s="7">
        <v>43371</v>
      </c>
      <c r="K61">
        <v>2913.98</v>
      </c>
      <c r="M61" s="9" t="s">
        <v>75</v>
      </c>
      <c r="N61" s="9">
        <v>3438.865</v>
      </c>
      <c r="P61" s="9" t="s">
        <v>75</v>
      </c>
      <c r="Q61" s="9">
        <v>4800.729</v>
      </c>
      <c r="S61" s="9" t="s">
        <v>75</v>
      </c>
      <c r="T61" s="9">
        <v>4987.273</v>
      </c>
      <c r="V61" s="9" t="s">
        <v>75</v>
      </c>
      <c r="W61" s="9">
        <v>185.089</v>
      </c>
      <c r="Y61" s="9" t="s">
        <v>75</v>
      </c>
      <c r="Z61" s="9">
        <v>166.917</v>
      </c>
    </row>
    <row r="62" spans="1:26">
      <c r="A62" s="7">
        <v>43404</v>
      </c>
      <c r="B62">
        <v>6973.63</v>
      </c>
      <c r="D62" s="7">
        <v>43404</v>
      </c>
      <c r="E62">
        <v>2.724</v>
      </c>
      <c r="G62" s="7">
        <v>43404</v>
      </c>
      <c r="H62">
        <v>24979.69</v>
      </c>
      <c r="J62" s="7">
        <v>43404</v>
      </c>
      <c r="K62">
        <v>2711.74</v>
      </c>
      <c r="M62" s="9" t="s">
        <v>76</v>
      </c>
      <c r="N62" s="9">
        <v>3153.823</v>
      </c>
      <c r="P62" s="9" t="s">
        <v>76</v>
      </c>
      <c r="Q62" s="9">
        <v>4272.552</v>
      </c>
      <c r="S62" s="9" t="s">
        <v>76</v>
      </c>
      <c r="T62" s="9">
        <v>4400.613</v>
      </c>
      <c r="V62" s="9" t="s">
        <v>76</v>
      </c>
      <c r="W62" s="9">
        <v>186.979</v>
      </c>
      <c r="Y62" s="9" t="s">
        <v>76</v>
      </c>
      <c r="Z62" s="9">
        <v>167.638</v>
      </c>
    </row>
    <row r="63" spans="1:26">
      <c r="A63" s="7">
        <v>43434</v>
      </c>
      <c r="B63">
        <v>7195.99</v>
      </c>
      <c r="D63" s="7">
        <v>43434</v>
      </c>
      <c r="E63">
        <v>2.732</v>
      </c>
      <c r="G63" s="7">
        <v>43434</v>
      </c>
      <c r="H63">
        <v>26506.75</v>
      </c>
      <c r="J63" s="7">
        <v>43434</v>
      </c>
      <c r="K63">
        <v>2760.17</v>
      </c>
      <c r="M63" s="9" t="s">
        <v>77</v>
      </c>
      <c r="N63" s="9">
        <v>3172.69</v>
      </c>
      <c r="P63" s="9" t="s">
        <v>77</v>
      </c>
      <c r="Q63" s="9">
        <v>4376.651</v>
      </c>
      <c r="S63" s="9" t="s">
        <v>77</v>
      </c>
      <c r="T63" s="9">
        <v>4648.184</v>
      </c>
      <c r="V63" s="9" t="s">
        <v>77</v>
      </c>
      <c r="W63" s="9">
        <v>189.005</v>
      </c>
      <c r="Y63" s="9" t="s">
        <v>77</v>
      </c>
      <c r="Z63" s="9">
        <v>168.694</v>
      </c>
    </row>
    <row r="64" spans="1:26">
      <c r="A64" s="7">
        <v>43462</v>
      </c>
      <c r="B64">
        <v>7292.94</v>
      </c>
      <c r="D64" s="7">
        <v>43462</v>
      </c>
      <c r="E64">
        <v>2.826</v>
      </c>
      <c r="G64" s="7">
        <v>43462</v>
      </c>
      <c r="H64">
        <v>25845.7</v>
      </c>
      <c r="J64" s="7">
        <v>43462</v>
      </c>
      <c r="K64">
        <v>2506.85</v>
      </c>
      <c r="M64" s="9" t="s">
        <v>78</v>
      </c>
      <c r="N64" s="9">
        <v>3010.654</v>
      </c>
      <c r="P64" s="9" t="s">
        <v>78</v>
      </c>
      <c r="Q64" s="9">
        <v>4168.036</v>
      </c>
      <c r="S64" s="9" t="s">
        <v>78</v>
      </c>
      <c r="T64" s="9">
        <v>4430.024</v>
      </c>
      <c r="V64" s="9" t="s">
        <v>78</v>
      </c>
      <c r="W64" s="9">
        <v>190.482</v>
      </c>
      <c r="Y64" s="9" t="s">
        <v>78</v>
      </c>
      <c r="Z64" s="9">
        <v>169.882</v>
      </c>
    </row>
    <row r="65" spans="1:26">
      <c r="A65" s="7">
        <v>43496</v>
      </c>
      <c r="B65">
        <v>7882.88</v>
      </c>
      <c r="D65" s="7">
        <v>43496</v>
      </c>
      <c r="E65">
        <v>2.837</v>
      </c>
      <c r="G65" s="7">
        <v>43496</v>
      </c>
      <c r="H65">
        <v>27942.47</v>
      </c>
      <c r="J65" s="7">
        <v>43496</v>
      </c>
      <c r="K65">
        <v>2704.1</v>
      </c>
      <c r="M65" s="9" t="s">
        <v>79</v>
      </c>
      <c r="N65" s="9">
        <v>3201.633</v>
      </c>
      <c r="P65" s="9" t="s">
        <v>79</v>
      </c>
      <c r="Q65" s="9">
        <v>4176.474</v>
      </c>
      <c r="S65" s="9" t="s">
        <v>79</v>
      </c>
      <c r="T65" s="9">
        <v>4355.736</v>
      </c>
      <c r="V65" s="9" t="s">
        <v>79</v>
      </c>
      <c r="W65" s="9">
        <v>192.328</v>
      </c>
      <c r="Y65" s="9" t="s">
        <v>79</v>
      </c>
      <c r="Z65" s="9">
        <v>170.964</v>
      </c>
    </row>
    <row r="66" spans="1:26">
      <c r="A66" s="7">
        <v>43524</v>
      </c>
      <c r="B66">
        <v>8065.22</v>
      </c>
      <c r="D66" s="7">
        <v>43524</v>
      </c>
      <c r="E66">
        <v>2.833</v>
      </c>
      <c r="G66" s="7">
        <v>43524</v>
      </c>
      <c r="H66">
        <v>28633.18</v>
      </c>
      <c r="J66" s="7">
        <v>43524</v>
      </c>
      <c r="K66">
        <v>2784.49</v>
      </c>
      <c r="M66" s="9" t="s">
        <v>80</v>
      </c>
      <c r="N66" s="9">
        <v>3669.37</v>
      </c>
      <c r="P66" s="9" t="s">
        <v>80</v>
      </c>
      <c r="Q66" s="9">
        <v>5025.291</v>
      </c>
      <c r="S66" s="9" t="s">
        <v>80</v>
      </c>
      <c r="T66" s="9">
        <v>5330.339</v>
      </c>
      <c r="V66" s="9" t="s">
        <v>80</v>
      </c>
      <c r="W66" s="9">
        <v>192.474</v>
      </c>
      <c r="Y66" s="9" t="s">
        <v>80</v>
      </c>
      <c r="Z66" s="9">
        <v>171.418</v>
      </c>
    </row>
    <row r="67" spans="1:26">
      <c r="A67" s="7">
        <v>43553</v>
      </c>
      <c r="B67">
        <v>8366.9</v>
      </c>
      <c r="D67" s="7">
        <v>43553</v>
      </c>
      <c r="E67">
        <v>2.788</v>
      </c>
      <c r="G67" s="7">
        <v>43553</v>
      </c>
      <c r="H67">
        <v>29051.36</v>
      </c>
      <c r="J67" s="7">
        <v>43553</v>
      </c>
      <c r="K67">
        <v>2834.4</v>
      </c>
      <c r="M67" s="9" t="s">
        <v>81</v>
      </c>
      <c r="N67" s="9">
        <v>3872.341</v>
      </c>
      <c r="P67" s="9" t="s">
        <v>81</v>
      </c>
      <c r="Q67" s="9">
        <v>5547.656</v>
      </c>
      <c r="S67" s="9" t="s">
        <v>81</v>
      </c>
      <c r="T67" s="9">
        <v>5911.212</v>
      </c>
      <c r="V67" s="9" t="s">
        <v>81</v>
      </c>
      <c r="W67" s="9">
        <v>193.196</v>
      </c>
      <c r="Y67" s="9" t="s">
        <v>81</v>
      </c>
      <c r="Z67" s="9">
        <v>172.023</v>
      </c>
    </row>
    <row r="68" spans="1:26">
      <c r="A68" s="7">
        <v>43585</v>
      </c>
      <c r="B68">
        <v>8236.46</v>
      </c>
      <c r="D68" s="7">
        <v>43585</v>
      </c>
      <c r="E68">
        <v>2.777</v>
      </c>
      <c r="G68" s="7">
        <v>43585</v>
      </c>
      <c r="H68">
        <v>29699.11</v>
      </c>
      <c r="J68" s="7">
        <v>43585</v>
      </c>
      <c r="K68">
        <v>2945.83</v>
      </c>
      <c r="M68" s="9" t="s">
        <v>82</v>
      </c>
      <c r="N68" s="9">
        <v>3913.211</v>
      </c>
      <c r="P68" s="9" t="s">
        <v>82</v>
      </c>
      <c r="Q68" s="9">
        <v>5307.56</v>
      </c>
      <c r="S68" s="9" t="s">
        <v>82</v>
      </c>
      <c r="T68" s="9">
        <v>5682.236</v>
      </c>
      <c r="V68" s="9" t="s">
        <v>82</v>
      </c>
      <c r="W68" s="9">
        <v>191.636</v>
      </c>
      <c r="Y68" s="9" t="s">
        <v>82</v>
      </c>
      <c r="Z68" s="9">
        <v>172.018</v>
      </c>
    </row>
    <row r="69" spans="1:26">
      <c r="A69" s="7">
        <v>43616</v>
      </c>
      <c r="B69">
        <v>8150.23</v>
      </c>
      <c r="D69" s="7">
        <v>43616</v>
      </c>
      <c r="E69">
        <v>2.878</v>
      </c>
      <c r="G69" s="7">
        <v>43616</v>
      </c>
      <c r="H69">
        <v>26901.09</v>
      </c>
      <c r="J69" s="7">
        <v>43616</v>
      </c>
      <c r="K69">
        <v>2752.06</v>
      </c>
      <c r="M69" s="9" t="s">
        <v>83</v>
      </c>
      <c r="N69" s="9">
        <v>3629.789</v>
      </c>
      <c r="P69" s="9" t="s">
        <v>83</v>
      </c>
      <c r="Q69" s="9">
        <v>4912.001</v>
      </c>
      <c r="S69" s="9" t="s">
        <v>83</v>
      </c>
      <c r="T69" s="9">
        <v>5334.248</v>
      </c>
      <c r="V69" s="9" t="s">
        <v>83</v>
      </c>
      <c r="W69" s="9">
        <v>193.321</v>
      </c>
      <c r="Y69" s="9" t="s">
        <v>83</v>
      </c>
      <c r="Z69" s="9">
        <v>172.555</v>
      </c>
    </row>
    <row r="70" spans="1:26">
      <c r="A70" s="7">
        <v>43644</v>
      </c>
      <c r="B70">
        <v>8403.99</v>
      </c>
      <c r="D70" s="7">
        <v>43644</v>
      </c>
      <c r="E70">
        <v>3.109</v>
      </c>
      <c r="G70" s="7">
        <v>43644</v>
      </c>
      <c r="H70">
        <v>28542.62</v>
      </c>
      <c r="J70" s="7">
        <v>43644</v>
      </c>
      <c r="K70">
        <v>2941.76</v>
      </c>
      <c r="M70" s="9" t="s">
        <v>84</v>
      </c>
      <c r="N70" s="9">
        <v>3825.587</v>
      </c>
      <c r="P70" s="9" t="s">
        <v>84</v>
      </c>
      <c r="Q70" s="9">
        <v>4950.48</v>
      </c>
      <c r="S70" s="9" t="s">
        <v>84</v>
      </c>
      <c r="T70" s="9">
        <v>5321.433</v>
      </c>
      <c r="V70" s="9" t="s">
        <v>84</v>
      </c>
      <c r="W70" s="9">
        <v>194.42</v>
      </c>
      <c r="Y70" s="9" t="s">
        <v>84</v>
      </c>
      <c r="Z70" s="9">
        <v>173.313</v>
      </c>
    </row>
    <row r="71" spans="1:26">
      <c r="A71" s="7">
        <v>43677</v>
      </c>
      <c r="B71">
        <v>8088.78</v>
      </c>
      <c r="D71" s="7">
        <v>43677</v>
      </c>
      <c r="E71">
        <v>3.164</v>
      </c>
      <c r="G71" s="7">
        <v>43677</v>
      </c>
      <c r="H71">
        <v>27777.75</v>
      </c>
      <c r="J71" s="7">
        <v>43677</v>
      </c>
      <c r="K71">
        <v>2980.38</v>
      </c>
      <c r="M71" s="9" t="s">
        <v>85</v>
      </c>
      <c r="N71" s="9">
        <v>3835.359</v>
      </c>
      <c r="P71" s="9" t="s">
        <v>85</v>
      </c>
      <c r="Q71" s="9">
        <v>4903.203</v>
      </c>
      <c r="S71" s="9" t="s">
        <v>85</v>
      </c>
      <c r="T71" s="9">
        <v>5200.095</v>
      </c>
      <c r="V71" s="9" t="s">
        <v>85</v>
      </c>
      <c r="W71" s="9">
        <v>195.707</v>
      </c>
      <c r="Y71" s="9" t="s">
        <v>85</v>
      </c>
      <c r="Z71" s="9">
        <v>174.022</v>
      </c>
    </row>
    <row r="72" spans="1:26">
      <c r="A72" s="7">
        <v>43707</v>
      </c>
      <c r="B72">
        <v>7446.67</v>
      </c>
      <c r="D72" s="7">
        <v>43707</v>
      </c>
      <c r="E72">
        <v>3.508</v>
      </c>
      <c r="G72" s="7">
        <v>43707</v>
      </c>
      <c r="H72">
        <v>25724.73</v>
      </c>
      <c r="J72" s="7">
        <v>43707</v>
      </c>
      <c r="K72">
        <v>2926.46</v>
      </c>
      <c r="M72" s="9" t="s">
        <v>86</v>
      </c>
      <c r="N72" s="9">
        <v>3799.586</v>
      </c>
      <c r="P72" s="9" t="s">
        <v>86</v>
      </c>
      <c r="Q72" s="9">
        <v>4886.494</v>
      </c>
      <c r="S72" s="9" t="s">
        <v>86</v>
      </c>
      <c r="T72" s="9">
        <v>5182.956</v>
      </c>
      <c r="V72" s="9" t="s">
        <v>86</v>
      </c>
      <c r="W72" s="9">
        <v>197.159</v>
      </c>
      <c r="Y72" s="9" t="s">
        <v>86</v>
      </c>
      <c r="Z72" s="9">
        <v>174.98</v>
      </c>
    </row>
    <row r="73" spans="1:26">
      <c r="A73" s="7">
        <v>43738</v>
      </c>
      <c r="B73">
        <v>7335.19</v>
      </c>
      <c r="D73" s="7">
        <v>43738</v>
      </c>
      <c r="E73">
        <v>3.396</v>
      </c>
      <c r="G73" s="7">
        <v>43738</v>
      </c>
      <c r="H73">
        <v>26092.27</v>
      </c>
      <c r="J73" s="7">
        <v>43738</v>
      </c>
      <c r="K73">
        <v>2976.74</v>
      </c>
      <c r="M73" s="9" t="s">
        <v>87</v>
      </c>
      <c r="N73" s="9">
        <v>3814.528</v>
      </c>
      <c r="P73" s="9" t="s">
        <v>87</v>
      </c>
      <c r="Q73" s="9">
        <v>4940.903</v>
      </c>
      <c r="S73" s="9" t="s">
        <v>87</v>
      </c>
      <c r="T73" s="9">
        <v>5232.387</v>
      </c>
      <c r="V73" s="9" t="s">
        <v>87</v>
      </c>
      <c r="W73" s="9">
        <v>197.346</v>
      </c>
      <c r="Y73" s="9" t="s">
        <v>87</v>
      </c>
      <c r="Z73" s="9">
        <v>175.532</v>
      </c>
    </row>
    <row r="74" spans="1:26">
      <c r="A74" s="7">
        <v>43769</v>
      </c>
      <c r="B74">
        <v>7487.64</v>
      </c>
      <c r="D74" s="7">
        <v>43769</v>
      </c>
      <c r="E74">
        <v>3.363</v>
      </c>
      <c r="G74" s="7">
        <v>43769</v>
      </c>
      <c r="H74">
        <v>26906.72</v>
      </c>
      <c r="J74" s="7">
        <v>43769</v>
      </c>
      <c r="K74">
        <v>3037.56</v>
      </c>
      <c r="M74" s="9" t="s">
        <v>88</v>
      </c>
      <c r="N74" s="9">
        <v>3886.752</v>
      </c>
      <c r="P74" s="9" t="s">
        <v>88</v>
      </c>
      <c r="Q74" s="9">
        <v>4917.417</v>
      </c>
      <c r="S74" s="9" t="s">
        <v>88</v>
      </c>
      <c r="T74" s="9">
        <v>5253.881</v>
      </c>
      <c r="V74" s="9" t="s">
        <v>88</v>
      </c>
      <c r="W74" s="9">
        <v>196.846</v>
      </c>
      <c r="Y74" s="9" t="s">
        <v>88</v>
      </c>
      <c r="Z74" s="9">
        <v>175.764</v>
      </c>
    </row>
    <row r="75" spans="1:26">
      <c r="A75" s="7">
        <v>43798</v>
      </c>
      <c r="B75">
        <v>7272.19</v>
      </c>
      <c r="D75" s="7">
        <v>43798</v>
      </c>
      <c r="E75">
        <v>3.265</v>
      </c>
      <c r="G75" s="7">
        <v>43798</v>
      </c>
      <c r="H75">
        <v>26346.49</v>
      </c>
      <c r="J75" s="7">
        <v>43798</v>
      </c>
      <c r="K75">
        <v>3140.98</v>
      </c>
      <c r="M75" s="9" t="s">
        <v>89</v>
      </c>
      <c r="N75" s="9">
        <v>3828.671</v>
      </c>
      <c r="P75" s="9" t="s">
        <v>89</v>
      </c>
      <c r="Q75" s="9">
        <v>4894.942</v>
      </c>
      <c r="S75" s="9" t="s">
        <v>89</v>
      </c>
      <c r="T75" s="9">
        <v>5126.615</v>
      </c>
      <c r="V75" s="9" t="s">
        <v>89</v>
      </c>
      <c r="W75" s="9">
        <v>198.584</v>
      </c>
      <c r="Y75" s="9" t="s">
        <v>89</v>
      </c>
      <c r="Z75" s="9">
        <v>176.45</v>
      </c>
    </row>
    <row r="76" spans="1:26">
      <c r="A76" s="7">
        <v>43830</v>
      </c>
      <c r="B76">
        <v>7390.41</v>
      </c>
      <c r="D76" s="7">
        <v>43830</v>
      </c>
      <c r="E76">
        <v>3.384</v>
      </c>
      <c r="G76" s="7">
        <v>43830</v>
      </c>
      <c r="H76">
        <v>28189.75</v>
      </c>
      <c r="J76" s="7">
        <v>43830</v>
      </c>
      <c r="K76">
        <v>3230.78</v>
      </c>
      <c r="M76" s="9" t="s">
        <v>90</v>
      </c>
      <c r="N76" s="9">
        <v>4096.582</v>
      </c>
      <c r="P76" s="9" t="s">
        <v>90</v>
      </c>
      <c r="Q76" s="9">
        <v>5267.662</v>
      </c>
      <c r="S76" s="9" t="s">
        <v>90</v>
      </c>
      <c r="T76" s="9">
        <v>5567.033</v>
      </c>
      <c r="V76" s="9" t="s">
        <v>90</v>
      </c>
      <c r="W76" s="9">
        <v>199.922</v>
      </c>
      <c r="Y76" s="9" t="s">
        <v>90</v>
      </c>
      <c r="Z76" s="9">
        <v>177.274</v>
      </c>
    </row>
    <row r="77" spans="1:26">
      <c r="A77" s="7">
        <v>43853</v>
      </c>
      <c r="B77">
        <v>7102.14</v>
      </c>
      <c r="D77" s="7">
        <v>43853</v>
      </c>
      <c r="E77">
        <v>3.43</v>
      </c>
      <c r="G77" s="7">
        <v>43853</v>
      </c>
      <c r="H77">
        <v>26312.63</v>
      </c>
      <c r="J77" s="7">
        <v>43853</v>
      </c>
      <c r="K77">
        <v>3225.52</v>
      </c>
      <c r="M77" s="9" t="s">
        <v>91</v>
      </c>
      <c r="N77" s="9">
        <v>4003.901</v>
      </c>
      <c r="P77" s="9" t="s">
        <v>91</v>
      </c>
      <c r="Q77" s="9">
        <v>5377.741</v>
      </c>
      <c r="S77" s="9" t="s">
        <v>91</v>
      </c>
      <c r="T77" s="9">
        <v>5699.008</v>
      </c>
      <c r="V77" s="9" t="s">
        <v>91</v>
      </c>
      <c r="W77" s="9">
        <v>201.265</v>
      </c>
      <c r="Y77" s="9" t="s">
        <v>91</v>
      </c>
      <c r="Z77" s="9">
        <v>178.151</v>
      </c>
    </row>
    <row r="78" spans="1:26">
      <c r="A78" s="7">
        <v>43889</v>
      </c>
      <c r="B78">
        <v>6760.13</v>
      </c>
      <c r="D78" s="7">
        <v>43889</v>
      </c>
      <c r="E78">
        <v>3.623</v>
      </c>
      <c r="G78" s="7">
        <v>43889</v>
      </c>
      <c r="H78">
        <v>26129.93</v>
      </c>
      <c r="J78" s="7">
        <v>43889</v>
      </c>
      <c r="K78">
        <v>2954.22</v>
      </c>
      <c r="M78" s="9" t="s">
        <v>92</v>
      </c>
      <c r="N78" s="9">
        <v>3940.049</v>
      </c>
      <c r="P78" s="9" t="s">
        <v>92</v>
      </c>
      <c r="Q78" s="9">
        <v>5451.29</v>
      </c>
      <c r="S78" s="9" t="s">
        <v>92</v>
      </c>
      <c r="T78" s="9">
        <v>5870.966</v>
      </c>
      <c r="V78" s="9" t="s">
        <v>92</v>
      </c>
      <c r="W78" s="9">
        <v>204.09</v>
      </c>
      <c r="Y78" s="9" t="s">
        <v>92</v>
      </c>
      <c r="Z78" s="9">
        <v>179.437</v>
      </c>
    </row>
    <row r="79" spans="1:26">
      <c r="A79" s="7">
        <v>43921</v>
      </c>
      <c r="B79">
        <v>5939.02</v>
      </c>
      <c r="D79" s="7">
        <v>43921</v>
      </c>
      <c r="E79">
        <v>3.586</v>
      </c>
      <c r="G79" s="7">
        <v>43921</v>
      </c>
      <c r="H79">
        <v>23603.48</v>
      </c>
      <c r="J79" s="7">
        <v>43921</v>
      </c>
      <c r="K79">
        <v>2584.59</v>
      </c>
      <c r="M79" s="9" t="s">
        <v>93</v>
      </c>
      <c r="N79" s="9">
        <v>3686.155</v>
      </c>
      <c r="P79" s="9" t="s">
        <v>93</v>
      </c>
      <c r="Q79" s="9">
        <v>5041.453</v>
      </c>
      <c r="S79" s="9" t="s">
        <v>93</v>
      </c>
      <c r="T79" s="9">
        <v>5427.132</v>
      </c>
      <c r="V79" s="9" t="s">
        <v>93</v>
      </c>
      <c r="W79" s="9">
        <v>205.759</v>
      </c>
      <c r="Y79" s="9" t="s">
        <v>93</v>
      </c>
      <c r="Z79" s="9">
        <v>181.343</v>
      </c>
    </row>
    <row r="80" spans="1:26">
      <c r="A80" s="7">
        <v>43951</v>
      </c>
      <c r="B80">
        <v>6050.33</v>
      </c>
      <c r="D80" s="7">
        <v>43951</v>
      </c>
      <c r="E80">
        <v>3.746</v>
      </c>
      <c r="G80" s="7">
        <v>43951</v>
      </c>
      <c r="H80">
        <v>24643.59</v>
      </c>
      <c r="J80" s="7">
        <v>43951</v>
      </c>
      <c r="K80">
        <v>2912.43</v>
      </c>
      <c r="M80" s="9" t="s">
        <v>94</v>
      </c>
      <c r="N80" s="9">
        <v>3912.577</v>
      </c>
      <c r="P80" s="9" t="s">
        <v>94</v>
      </c>
      <c r="Q80" s="9">
        <v>5353.86</v>
      </c>
      <c r="S80" s="9" t="s">
        <v>94</v>
      </c>
      <c r="T80" s="9">
        <v>5678.166</v>
      </c>
      <c r="V80" s="9" t="s">
        <v>94</v>
      </c>
      <c r="W80" s="9">
        <v>209.029</v>
      </c>
      <c r="Y80" s="9" t="s">
        <v>94</v>
      </c>
      <c r="Z80" s="9">
        <v>182.705</v>
      </c>
    </row>
    <row r="81" spans="1:26">
      <c r="A81" s="7">
        <v>43980</v>
      </c>
      <c r="B81">
        <v>5254.27</v>
      </c>
      <c r="D81" s="7">
        <v>43980</v>
      </c>
      <c r="E81">
        <v>3.864</v>
      </c>
      <c r="G81" s="7">
        <v>43980</v>
      </c>
      <c r="H81">
        <v>22961.47</v>
      </c>
      <c r="J81" s="7">
        <v>43980</v>
      </c>
      <c r="K81">
        <v>3044.31</v>
      </c>
      <c r="M81" s="9" t="s">
        <v>95</v>
      </c>
      <c r="N81" s="9">
        <v>3867.023</v>
      </c>
      <c r="P81" s="9" t="s">
        <v>95</v>
      </c>
      <c r="Q81" s="9">
        <v>5406.34</v>
      </c>
      <c r="S81" s="9" t="s">
        <v>95</v>
      </c>
      <c r="T81" s="9">
        <v>5816.4</v>
      </c>
      <c r="V81" s="9" t="s">
        <v>95</v>
      </c>
      <c r="W81" s="9">
        <v>206.758</v>
      </c>
      <c r="Y81" s="9" t="s">
        <v>95</v>
      </c>
      <c r="Z81" s="9">
        <v>182.686</v>
      </c>
    </row>
    <row r="82" spans="1:26">
      <c r="A82" s="7">
        <v>44012</v>
      </c>
      <c r="B82">
        <v>5588.38</v>
      </c>
      <c r="D82" s="7">
        <v>44012</v>
      </c>
      <c r="E82">
        <v>3.914</v>
      </c>
      <c r="G82" s="7">
        <v>44012</v>
      </c>
      <c r="H82">
        <v>24427.19</v>
      </c>
      <c r="J82" s="7">
        <v>44012</v>
      </c>
      <c r="K82">
        <v>3100.29</v>
      </c>
      <c r="M82" s="9" t="s">
        <v>96</v>
      </c>
      <c r="N82" s="9">
        <v>4163.964</v>
      </c>
      <c r="P82" s="9" t="s">
        <v>96</v>
      </c>
      <c r="Q82" s="9">
        <v>5864.416</v>
      </c>
      <c r="S82" s="9" t="s">
        <v>96</v>
      </c>
      <c r="T82" s="9">
        <v>6319.556</v>
      </c>
      <c r="V82" s="9" t="s">
        <v>96</v>
      </c>
      <c r="W82" s="9">
        <v>204.96</v>
      </c>
      <c r="Y82" s="9" t="s">
        <v>96</v>
      </c>
      <c r="Z82" s="9">
        <v>182.429</v>
      </c>
    </row>
    <row r="83" spans="1:26">
      <c r="A83" s="7">
        <v>44043</v>
      </c>
      <c r="B83">
        <v>5447.08</v>
      </c>
      <c r="D83" s="7">
        <v>44043</v>
      </c>
      <c r="E83">
        <v>4.216</v>
      </c>
      <c r="G83" s="7">
        <v>44043</v>
      </c>
      <c r="H83">
        <v>24595.35</v>
      </c>
      <c r="J83" s="7">
        <v>44043</v>
      </c>
      <c r="K83">
        <v>3271.12</v>
      </c>
      <c r="M83" s="9" t="s">
        <v>97</v>
      </c>
      <c r="N83" s="9">
        <v>4695.046</v>
      </c>
      <c r="P83" s="9" t="s">
        <v>97</v>
      </c>
      <c r="Q83" s="9">
        <v>6579.67</v>
      </c>
      <c r="S83" s="9" t="s">
        <v>97</v>
      </c>
      <c r="T83" s="9">
        <v>7141.592</v>
      </c>
      <c r="V83" s="9" t="s">
        <v>97</v>
      </c>
      <c r="W83" s="9">
        <v>204.163</v>
      </c>
      <c r="Y83" s="9" t="s">
        <v>97</v>
      </c>
      <c r="Z83" s="9">
        <v>182.548</v>
      </c>
    </row>
    <row r="84" spans="1:26">
      <c r="A84" s="7">
        <v>44074</v>
      </c>
      <c r="B84">
        <v>5577.63</v>
      </c>
      <c r="D84" s="7">
        <v>44074</v>
      </c>
      <c r="E84">
        <v>4.123</v>
      </c>
      <c r="G84" s="7">
        <v>44074</v>
      </c>
      <c r="H84">
        <v>25177.05</v>
      </c>
      <c r="J84" s="7">
        <v>44074</v>
      </c>
      <c r="K84">
        <v>3500.31</v>
      </c>
      <c r="M84" s="9" t="s">
        <v>98</v>
      </c>
      <c r="N84" s="9">
        <v>4816.215</v>
      </c>
      <c r="P84" s="9" t="s">
        <v>98</v>
      </c>
      <c r="Q84" s="9">
        <v>6668.433</v>
      </c>
      <c r="S84" s="9" t="s">
        <v>98</v>
      </c>
      <c r="T84" s="9">
        <v>7224.046</v>
      </c>
      <c r="V84" s="9" t="s">
        <v>98</v>
      </c>
      <c r="W84" s="9">
        <v>203.418</v>
      </c>
      <c r="Y84" s="9" t="s">
        <v>98</v>
      </c>
      <c r="Z84" s="9">
        <v>182.626</v>
      </c>
    </row>
    <row r="85" spans="1:26">
      <c r="A85" s="7">
        <v>44104</v>
      </c>
      <c r="B85">
        <v>5412.34</v>
      </c>
      <c r="D85" s="7">
        <v>44104</v>
      </c>
      <c r="E85">
        <v>3.974</v>
      </c>
      <c r="G85" s="7">
        <v>44104</v>
      </c>
      <c r="H85">
        <v>23459.05</v>
      </c>
      <c r="J85" s="7">
        <v>44104</v>
      </c>
      <c r="K85">
        <v>3363</v>
      </c>
      <c r="M85" s="9" t="s">
        <v>99</v>
      </c>
      <c r="N85" s="9">
        <v>4587.395</v>
      </c>
      <c r="P85" s="9" t="s">
        <v>99</v>
      </c>
      <c r="Q85" s="9">
        <v>6192.505</v>
      </c>
      <c r="S85" s="9" t="s">
        <v>99</v>
      </c>
      <c r="T85" s="9">
        <v>6617.159</v>
      </c>
      <c r="V85" s="9" t="s">
        <v>99</v>
      </c>
      <c r="W85" s="9">
        <v>203.362</v>
      </c>
      <c r="Y85" s="9" t="s">
        <v>99</v>
      </c>
      <c r="Z85" s="9">
        <v>183.044</v>
      </c>
    </row>
    <row r="86" spans="1:26">
      <c r="A86" s="7">
        <v>44134</v>
      </c>
      <c r="B86">
        <v>5254.98</v>
      </c>
      <c r="D86" s="7">
        <v>44134</v>
      </c>
      <c r="E86">
        <v>3.897</v>
      </c>
      <c r="G86" s="7">
        <v>44134</v>
      </c>
      <c r="H86">
        <v>24107.42</v>
      </c>
      <c r="J86" s="7">
        <v>44134</v>
      </c>
      <c r="K86">
        <v>3269.96</v>
      </c>
      <c r="M86" s="9" t="s">
        <v>100</v>
      </c>
      <c r="N86" s="9">
        <v>4695.334</v>
      </c>
      <c r="P86" s="9" t="s">
        <v>100</v>
      </c>
      <c r="Q86" s="9">
        <v>6111.48</v>
      </c>
      <c r="S86" s="9" t="s">
        <v>100</v>
      </c>
      <c r="T86" s="9">
        <v>6511.158</v>
      </c>
      <c r="V86" s="9" t="s">
        <v>100</v>
      </c>
      <c r="W86" s="9">
        <v>203.997</v>
      </c>
      <c r="Y86" s="9" t="s">
        <v>100</v>
      </c>
      <c r="Z86" s="9">
        <v>182.999</v>
      </c>
    </row>
    <row r="87" spans="1:26">
      <c r="A87" s="7">
        <v>44165</v>
      </c>
      <c r="B87">
        <v>5939.31</v>
      </c>
      <c r="D87" s="7">
        <v>44165</v>
      </c>
      <c r="E87">
        <v>3.628</v>
      </c>
      <c r="G87" s="7">
        <v>44165</v>
      </c>
      <c r="H87">
        <v>26341.49</v>
      </c>
      <c r="J87" s="7">
        <v>44165</v>
      </c>
      <c r="K87">
        <v>3621.63</v>
      </c>
      <c r="M87" s="9" t="s">
        <v>101</v>
      </c>
      <c r="N87" s="9">
        <v>4960.252</v>
      </c>
      <c r="P87" s="9" t="s">
        <v>101</v>
      </c>
      <c r="Q87" s="9">
        <v>6320.944</v>
      </c>
      <c r="S87" s="9" t="s">
        <v>101</v>
      </c>
      <c r="T87" s="9">
        <v>6622.359</v>
      </c>
      <c r="V87" s="9" t="s">
        <v>101</v>
      </c>
      <c r="W87" s="9">
        <v>204.35</v>
      </c>
      <c r="Y87" s="9" t="s">
        <v>101</v>
      </c>
      <c r="Z87" s="9">
        <v>183.114</v>
      </c>
    </row>
    <row r="88" spans="1:26">
      <c r="A88" s="7">
        <v>44196</v>
      </c>
      <c r="B88">
        <v>6044.46</v>
      </c>
      <c r="D88" s="7">
        <v>44196</v>
      </c>
      <c r="E88">
        <v>3.85</v>
      </c>
      <c r="G88" s="7">
        <v>44196</v>
      </c>
      <c r="H88">
        <v>27231.13</v>
      </c>
      <c r="J88" s="7">
        <v>44196</v>
      </c>
      <c r="K88">
        <v>3756.07</v>
      </c>
      <c r="M88" s="9" t="s">
        <v>102</v>
      </c>
      <c r="N88" s="9">
        <v>5211.288</v>
      </c>
      <c r="P88" s="9" t="s">
        <v>102</v>
      </c>
      <c r="Q88" s="9">
        <v>6367.115</v>
      </c>
      <c r="S88" s="9" t="s">
        <v>102</v>
      </c>
      <c r="T88" s="9">
        <v>6646.474</v>
      </c>
      <c r="V88" s="9" t="s">
        <v>102</v>
      </c>
      <c r="W88" s="9">
        <v>206.016</v>
      </c>
      <c r="Y88" s="9" t="s">
        <v>102</v>
      </c>
      <c r="Z88" s="9">
        <v>183.778</v>
      </c>
    </row>
    <row r="89" spans="1:26">
      <c r="A89" s="7">
        <v>44225</v>
      </c>
      <c r="B89">
        <v>5860.74</v>
      </c>
      <c r="D89" s="7">
        <v>44225</v>
      </c>
      <c r="E89">
        <v>3.778</v>
      </c>
      <c r="G89" s="7">
        <v>44225</v>
      </c>
      <c r="H89">
        <v>28283.71</v>
      </c>
      <c r="J89" s="7">
        <v>44225</v>
      </c>
      <c r="K89">
        <v>3714.24</v>
      </c>
      <c r="M89" s="9" t="s">
        <v>103</v>
      </c>
      <c r="N89" s="9">
        <v>5351.965</v>
      </c>
      <c r="P89" s="9" t="s">
        <v>103</v>
      </c>
      <c r="Q89" s="9">
        <v>6346.137</v>
      </c>
      <c r="S89" s="9" t="s">
        <v>103</v>
      </c>
      <c r="T89" s="9">
        <v>6304.118</v>
      </c>
      <c r="V89" s="9" t="s">
        <v>103</v>
      </c>
      <c r="W89" s="9">
        <v>206.616</v>
      </c>
      <c r="Y89" s="9" t="s">
        <v>103</v>
      </c>
      <c r="Z89" s="9">
        <v>184.393</v>
      </c>
    </row>
    <row r="90" spans="1:26">
      <c r="A90" s="7">
        <v>44253</v>
      </c>
      <c r="B90">
        <v>6183.98</v>
      </c>
      <c r="D90" s="7">
        <v>44253</v>
      </c>
      <c r="E90">
        <v>3.613</v>
      </c>
      <c r="G90" s="7">
        <v>44253</v>
      </c>
      <c r="H90">
        <v>28980.21</v>
      </c>
      <c r="J90" s="7">
        <v>44253</v>
      </c>
      <c r="K90">
        <v>3811.15</v>
      </c>
      <c r="M90" s="9" t="s">
        <v>104</v>
      </c>
      <c r="N90" s="9">
        <v>5336.761</v>
      </c>
      <c r="P90" s="9" t="s">
        <v>104</v>
      </c>
      <c r="Q90" s="9">
        <v>6364.353</v>
      </c>
      <c r="S90" s="9" t="s">
        <v>104</v>
      </c>
      <c r="T90" s="9">
        <v>6325.405</v>
      </c>
      <c r="V90" s="9" t="s">
        <v>104</v>
      </c>
      <c r="W90" s="9">
        <v>206.641</v>
      </c>
      <c r="Y90" s="9" t="s">
        <v>104</v>
      </c>
      <c r="Z90" s="9">
        <v>184.485</v>
      </c>
    </row>
    <row r="91" spans="1:26">
      <c r="A91" s="7">
        <v>44286</v>
      </c>
      <c r="B91">
        <v>6232.83</v>
      </c>
      <c r="D91" s="7">
        <v>44286</v>
      </c>
      <c r="E91">
        <v>3.495</v>
      </c>
      <c r="G91" s="7">
        <v>44286</v>
      </c>
      <c r="H91">
        <v>28378.35</v>
      </c>
      <c r="J91" s="7">
        <v>44286</v>
      </c>
      <c r="K91">
        <v>3972.89</v>
      </c>
      <c r="M91" s="9" t="s">
        <v>105</v>
      </c>
      <c r="N91" s="9">
        <v>5048.361</v>
      </c>
      <c r="P91" s="9" t="s">
        <v>105</v>
      </c>
      <c r="Q91" s="9">
        <v>6254.07</v>
      </c>
      <c r="S91" s="9" t="s">
        <v>105</v>
      </c>
      <c r="T91" s="9">
        <v>6293.392</v>
      </c>
      <c r="V91" s="9" t="s">
        <v>105</v>
      </c>
      <c r="W91" s="9">
        <v>208.042</v>
      </c>
      <c r="Y91" s="9" t="s">
        <v>105</v>
      </c>
      <c r="Z91" s="9">
        <v>185.26</v>
      </c>
    </row>
    <row r="92" spans="1:26">
      <c r="A92" s="7">
        <v>44316</v>
      </c>
      <c r="B92">
        <v>6344.72</v>
      </c>
      <c r="D92" s="7">
        <v>44316</v>
      </c>
      <c r="E92">
        <v>3.625</v>
      </c>
      <c r="G92" s="7">
        <v>44316</v>
      </c>
      <c r="H92">
        <v>28724.88</v>
      </c>
      <c r="J92" s="7">
        <v>44316</v>
      </c>
      <c r="K92">
        <v>4181.17</v>
      </c>
      <c r="M92" s="9" t="s">
        <v>106</v>
      </c>
      <c r="N92" s="9">
        <v>5123.489</v>
      </c>
      <c r="P92" s="9" t="s">
        <v>106</v>
      </c>
      <c r="Q92" s="9">
        <v>6485.708</v>
      </c>
      <c r="S92" s="9" t="s">
        <v>106</v>
      </c>
      <c r="T92" s="9">
        <v>6382.136</v>
      </c>
      <c r="V92" s="9" t="s">
        <v>106</v>
      </c>
      <c r="W92" s="9">
        <v>209.095</v>
      </c>
      <c r="Y92" s="9" t="s">
        <v>106</v>
      </c>
      <c r="Z92" s="9">
        <v>185.916</v>
      </c>
    </row>
    <row r="93" spans="1:26">
      <c r="A93" s="7">
        <v>44347</v>
      </c>
      <c r="B93">
        <v>6524.62</v>
      </c>
      <c r="D93" s="7">
        <v>44347</v>
      </c>
      <c r="E93">
        <v>3.828</v>
      </c>
      <c r="G93" s="7">
        <v>44347</v>
      </c>
      <c r="H93">
        <v>29151.8</v>
      </c>
      <c r="J93" s="7">
        <v>44347</v>
      </c>
      <c r="K93">
        <v>4204.11</v>
      </c>
      <c r="M93" s="9" t="s">
        <v>107</v>
      </c>
      <c r="N93" s="9">
        <v>5331.57</v>
      </c>
      <c r="P93" s="9" t="s">
        <v>107</v>
      </c>
      <c r="Q93" s="9">
        <v>6728.991</v>
      </c>
      <c r="S93" s="9" t="s">
        <v>107</v>
      </c>
      <c r="T93" s="9">
        <v>6814.363</v>
      </c>
      <c r="V93" s="9" t="s">
        <v>107</v>
      </c>
      <c r="W93" s="9">
        <v>210.401</v>
      </c>
      <c r="Y93" s="9" t="s">
        <v>107</v>
      </c>
      <c r="Z93" s="9">
        <v>186.621</v>
      </c>
    </row>
    <row r="94" spans="1:26">
      <c r="A94" s="7">
        <v>44377</v>
      </c>
      <c r="B94">
        <v>6499.16</v>
      </c>
      <c r="D94" s="7">
        <v>44377</v>
      </c>
      <c r="E94">
        <v>3.584</v>
      </c>
      <c r="G94" s="7">
        <v>44377</v>
      </c>
      <c r="H94">
        <v>28827.95</v>
      </c>
      <c r="J94" s="7">
        <v>44377</v>
      </c>
      <c r="K94">
        <v>4297.5</v>
      </c>
      <c r="M94" s="9" t="s">
        <v>108</v>
      </c>
      <c r="N94" s="9">
        <v>5224.041</v>
      </c>
      <c r="P94" s="9" t="s">
        <v>108</v>
      </c>
      <c r="Q94" s="9">
        <v>6808.183</v>
      </c>
      <c r="S94" s="9" t="s">
        <v>108</v>
      </c>
      <c r="T94" s="9">
        <v>7083.7</v>
      </c>
      <c r="V94" s="9" t="s">
        <v>108</v>
      </c>
      <c r="W94" s="9">
        <v>210.778</v>
      </c>
      <c r="Y94" s="9" t="s">
        <v>108</v>
      </c>
      <c r="Z94" s="9">
        <v>186.856</v>
      </c>
    </row>
    <row r="95" spans="1:26">
      <c r="A95" s="7">
        <v>44407</v>
      </c>
      <c r="B95">
        <v>6515.7</v>
      </c>
      <c r="D95" s="7">
        <v>44407</v>
      </c>
      <c r="E95">
        <v>3.72</v>
      </c>
      <c r="G95" s="7">
        <v>44407</v>
      </c>
      <c r="H95">
        <v>25961.03</v>
      </c>
      <c r="J95" s="7">
        <v>44407</v>
      </c>
      <c r="K95">
        <v>4395.26</v>
      </c>
      <c r="M95" s="9" t="s">
        <v>109</v>
      </c>
      <c r="N95" s="9">
        <v>4811.17</v>
      </c>
      <c r="P95" s="9" t="s">
        <v>109</v>
      </c>
      <c r="Q95" s="9">
        <v>6767.316</v>
      </c>
      <c r="S95" s="9" t="s">
        <v>109</v>
      </c>
      <c r="T95" s="9">
        <v>7262.383</v>
      </c>
      <c r="V95" s="9" t="s">
        <v>109</v>
      </c>
      <c r="W95" s="9">
        <v>213.816</v>
      </c>
      <c r="Y95" s="9" t="s">
        <v>109</v>
      </c>
      <c r="Z95" s="9">
        <v>188.211</v>
      </c>
    </row>
    <row r="96" spans="1:26">
      <c r="A96" s="7">
        <v>44439</v>
      </c>
      <c r="B96">
        <v>6513.55</v>
      </c>
      <c r="D96" s="7">
        <v>44439</v>
      </c>
      <c r="E96">
        <v>3.69</v>
      </c>
      <c r="G96" s="7">
        <v>44439</v>
      </c>
      <c r="H96">
        <v>25878.99</v>
      </c>
      <c r="J96" s="7">
        <v>44439</v>
      </c>
      <c r="K96">
        <v>4522.68</v>
      </c>
      <c r="M96" s="9" t="s">
        <v>110</v>
      </c>
      <c r="N96" s="9">
        <v>4805.61</v>
      </c>
      <c r="P96" s="9" t="s">
        <v>110</v>
      </c>
      <c r="Q96" s="9">
        <v>7255.342</v>
      </c>
      <c r="S96" s="9" t="s">
        <v>110</v>
      </c>
      <c r="T96" s="9">
        <v>7728.422</v>
      </c>
      <c r="V96" s="9" t="s">
        <v>110</v>
      </c>
      <c r="W96" s="9">
        <v>214.508</v>
      </c>
      <c r="Y96" s="9" t="s">
        <v>110</v>
      </c>
      <c r="Z96" s="9">
        <v>189.112</v>
      </c>
    </row>
    <row r="97" spans="1:26">
      <c r="A97" s="7">
        <v>44469</v>
      </c>
      <c r="B97">
        <v>6003.96</v>
      </c>
      <c r="D97" s="7">
        <v>44469</v>
      </c>
      <c r="E97">
        <v>3.543</v>
      </c>
      <c r="G97" s="7">
        <v>44469</v>
      </c>
      <c r="H97">
        <v>24575.64</v>
      </c>
      <c r="J97" s="7">
        <v>44469</v>
      </c>
      <c r="K97">
        <v>4307.54</v>
      </c>
      <c r="M97" s="9" t="s">
        <v>111</v>
      </c>
      <c r="N97" s="9">
        <v>4866.383</v>
      </c>
      <c r="P97" s="9" t="s">
        <v>111</v>
      </c>
      <c r="Q97" s="9">
        <v>7103.608</v>
      </c>
      <c r="S97" s="9" t="s">
        <v>111</v>
      </c>
      <c r="T97" s="9">
        <v>7405.462</v>
      </c>
      <c r="V97" s="9" t="s">
        <v>111</v>
      </c>
      <c r="W97" s="9">
        <v>214.712</v>
      </c>
      <c r="Y97" s="9" t="s">
        <v>111</v>
      </c>
      <c r="Z97" s="9">
        <v>189.61</v>
      </c>
    </row>
    <row r="98" spans="1:26">
      <c r="A98" s="7">
        <v>44498</v>
      </c>
      <c r="B98">
        <v>6036.2</v>
      </c>
      <c r="D98" s="7">
        <v>44498</v>
      </c>
      <c r="E98">
        <v>3.609</v>
      </c>
      <c r="G98" s="7">
        <v>44498</v>
      </c>
      <c r="H98">
        <v>25377.24</v>
      </c>
      <c r="J98" s="7">
        <v>44498</v>
      </c>
      <c r="K98">
        <v>4605.38</v>
      </c>
      <c r="M98" s="9" t="s">
        <v>112</v>
      </c>
      <c r="N98" s="9">
        <v>4908.77</v>
      </c>
      <c r="P98" s="9" t="s">
        <v>112</v>
      </c>
      <c r="Q98" s="9">
        <v>7022.499</v>
      </c>
      <c r="S98" s="9" t="s">
        <v>112</v>
      </c>
      <c r="T98" s="9">
        <v>7385.305</v>
      </c>
      <c r="V98" s="9" t="s">
        <v>112</v>
      </c>
      <c r="W98" s="9">
        <v>214.509</v>
      </c>
      <c r="Y98" s="9" t="s">
        <v>112</v>
      </c>
      <c r="Z98" s="9">
        <v>189.787</v>
      </c>
    </row>
    <row r="99" spans="1:26">
      <c r="A99" s="7">
        <v>44530</v>
      </c>
      <c r="B99">
        <v>5966.13</v>
      </c>
      <c r="D99" s="7">
        <v>44530</v>
      </c>
      <c r="E99">
        <v>3.605</v>
      </c>
      <c r="G99" s="7">
        <v>44530</v>
      </c>
      <c r="H99">
        <v>23475.26</v>
      </c>
      <c r="J99" s="7">
        <v>44530</v>
      </c>
      <c r="K99">
        <v>4567</v>
      </c>
      <c r="M99" s="9" t="s">
        <v>113</v>
      </c>
      <c r="N99" s="9">
        <v>4832.026</v>
      </c>
      <c r="P99" s="9" t="s">
        <v>113</v>
      </c>
      <c r="Q99" s="9">
        <v>7252.755</v>
      </c>
      <c r="S99" s="9" t="s">
        <v>113</v>
      </c>
      <c r="T99" s="9">
        <v>8054.29</v>
      </c>
      <c r="V99" s="9" t="s">
        <v>113</v>
      </c>
      <c r="W99" s="9">
        <v>216.204</v>
      </c>
      <c r="Y99" s="9" t="s">
        <v>113</v>
      </c>
      <c r="Z99" s="9">
        <v>190.783</v>
      </c>
    </row>
    <row r="100" spans="1:26">
      <c r="A100" s="7">
        <v>44561</v>
      </c>
      <c r="B100">
        <v>5915.45</v>
      </c>
      <c r="D100" s="7">
        <v>44561</v>
      </c>
      <c r="E100">
        <v>3.643</v>
      </c>
      <c r="G100" s="7">
        <v>44561</v>
      </c>
      <c r="H100">
        <v>23397.67</v>
      </c>
      <c r="J100" s="7">
        <v>44561</v>
      </c>
      <c r="K100">
        <v>4766.18</v>
      </c>
      <c r="M100" s="9" t="s">
        <v>114</v>
      </c>
      <c r="N100" s="9">
        <v>4940.373</v>
      </c>
      <c r="P100" s="9" t="s">
        <v>114</v>
      </c>
      <c r="Q100" s="9">
        <v>7359.402</v>
      </c>
      <c r="S100" s="9" t="s">
        <v>114</v>
      </c>
      <c r="T100" s="9">
        <v>8010.324</v>
      </c>
      <c r="V100" s="9" t="s">
        <v>114</v>
      </c>
      <c r="W100" s="9">
        <v>217.649</v>
      </c>
      <c r="Y100" s="9" t="s">
        <v>114</v>
      </c>
      <c r="Z100" s="9">
        <v>191.567</v>
      </c>
    </row>
    <row r="101" spans="1:26">
      <c r="A101" s="7">
        <v>44589</v>
      </c>
      <c r="B101">
        <v>5863.78</v>
      </c>
      <c r="D101" s="7">
        <v>44589</v>
      </c>
      <c r="E101">
        <v>3.594</v>
      </c>
      <c r="G101" s="7">
        <v>44589</v>
      </c>
      <c r="H101">
        <v>23802.26</v>
      </c>
      <c r="J101" s="7">
        <v>44589</v>
      </c>
      <c r="K101">
        <v>4515.55</v>
      </c>
      <c r="M101" s="9" t="s">
        <v>115</v>
      </c>
      <c r="N101" s="9">
        <v>4563.772</v>
      </c>
      <c r="P101" s="9" t="s">
        <v>115</v>
      </c>
      <c r="Q101" s="9">
        <v>6580.53</v>
      </c>
      <c r="S101" s="9" t="s">
        <v>115</v>
      </c>
      <c r="T101" s="9">
        <v>6973.01</v>
      </c>
      <c r="V101" s="9" t="s">
        <v>115</v>
      </c>
      <c r="W101" s="9">
        <v>219.731</v>
      </c>
      <c r="Y101" s="9" t="s">
        <v>115</v>
      </c>
      <c r="Z101" s="9">
        <v>192.659</v>
      </c>
    </row>
    <row r="102" spans="1:26">
      <c r="A102" s="7">
        <v>44620</v>
      </c>
      <c r="B102">
        <v>5495.51</v>
      </c>
      <c r="D102" s="7">
        <v>44620</v>
      </c>
      <c r="E102">
        <v>3.787</v>
      </c>
      <c r="G102" s="7">
        <v>44620</v>
      </c>
      <c r="H102">
        <v>22713.02</v>
      </c>
      <c r="J102" s="7">
        <v>44620</v>
      </c>
      <c r="K102">
        <v>4373.94</v>
      </c>
      <c r="M102" s="9" t="s">
        <v>116</v>
      </c>
      <c r="N102" s="9">
        <v>4581.646</v>
      </c>
      <c r="P102" s="9" t="s">
        <v>116</v>
      </c>
      <c r="Q102" s="9">
        <v>6853.308</v>
      </c>
      <c r="S102" s="9" t="s">
        <v>116</v>
      </c>
      <c r="T102" s="9">
        <v>7419.831</v>
      </c>
      <c r="V102" s="9" t="s">
        <v>116</v>
      </c>
      <c r="W102" s="9">
        <v>219.17</v>
      </c>
      <c r="Y102" s="9" t="s">
        <v>116</v>
      </c>
      <c r="Z102" s="9">
        <v>193.033</v>
      </c>
    </row>
    <row r="103" spans="1:26">
      <c r="A103" s="7">
        <v>44651</v>
      </c>
      <c r="B103">
        <v>5569.68</v>
      </c>
      <c r="D103" s="7">
        <v>44651</v>
      </c>
      <c r="E103">
        <v>3.833</v>
      </c>
      <c r="G103" s="7">
        <v>44651</v>
      </c>
      <c r="H103">
        <v>21996.85</v>
      </c>
      <c r="J103" s="7">
        <v>44651</v>
      </c>
      <c r="K103">
        <v>4530.41</v>
      </c>
      <c r="M103" s="9" t="s">
        <v>117</v>
      </c>
      <c r="N103" s="9">
        <v>4222.597</v>
      </c>
      <c r="P103" s="9" t="s">
        <v>117</v>
      </c>
      <c r="Q103" s="9">
        <v>6324.961</v>
      </c>
      <c r="S103" s="9" t="s">
        <v>117</v>
      </c>
      <c r="T103" s="9">
        <v>6772.065</v>
      </c>
      <c r="V103" s="9" t="s">
        <v>117</v>
      </c>
      <c r="W103" s="9">
        <v>219.353</v>
      </c>
      <c r="Y103" s="9" t="s">
        <v>117</v>
      </c>
      <c r="Z103" s="9">
        <v>193.373</v>
      </c>
    </row>
    <row r="104" spans="1:26">
      <c r="A104" s="7">
        <v>44680</v>
      </c>
      <c r="B104">
        <v>5451.27</v>
      </c>
      <c r="D104" s="7">
        <v>44680</v>
      </c>
      <c r="E104">
        <v>3.942</v>
      </c>
      <c r="G104" s="7">
        <v>44680</v>
      </c>
      <c r="H104">
        <v>21089.39</v>
      </c>
      <c r="J104" s="7">
        <v>44680</v>
      </c>
      <c r="K104">
        <v>4131.93</v>
      </c>
      <c r="M104" s="9" t="s">
        <v>118</v>
      </c>
      <c r="N104" s="9">
        <v>4016.241</v>
      </c>
      <c r="P104" s="9" t="s">
        <v>118</v>
      </c>
      <c r="Q104" s="9">
        <v>5627.902</v>
      </c>
      <c r="S104" s="9" t="s">
        <v>118</v>
      </c>
      <c r="T104" s="9">
        <v>5734.493</v>
      </c>
      <c r="V104" s="9" t="s">
        <v>118</v>
      </c>
      <c r="W104" s="9">
        <v>220.393</v>
      </c>
      <c r="Y104" s="9" t="s">
        <v>118</v>
      </c>
      <c r="Z104" s="9">
        <v>194.213</v>
      </c>
    </row>
    <row r="105" spans="1:26">
      <c r="A105" s="7">
        <v>44712</v>
      </c>
      <c r="B105">
        <v>5596.59</v>
      </c>
      <c r="D105" s="7">
        <v>44712</v>
      </c>
      <c r="E105">
        <v>3.877</v>
      </c>
      <c r="G105" s="7">
        <v>44712</v>
      </c>
      <c r="H105">
        <v>21415.2</v>
      </c>
      <c r="J105" s="7">
        <v>44712</v>
      </c>
      <c r="K105">
        <v>4132.15</v>
      </c>
      <c r="M105" s="9" t="s">
        <v>119</v>
      </c>
      <c r="N105" s="9">
        <v>4091.518</v>
      </c>
      <c r="P105" s="9" t="s">
        <v>119</v>
      </c>
      <c r="Q105" s="9">
        <v>6026.237</v>
      </c>
      <c r="S105" s="9" t="s">
        <v>119</v>
      </c>
      <c r="T105" s="9">
        <v>6353.347</v>
      </c>
      <c r="V105" s="9" t="s">
        <v>119</v>
      </c>
      <c r="W105" s="9">
        <v>221.846</v>
      </c>
      <c r="Y105" s="9" t="s">
        <v>119</v>
      </c>
      <c r="Z105" s="9">
        <v>195.083</v>
      </c>
    </row>
    <row r="106" spans="1:26">
      <c r="A106" s="7">
        <v>44742</v>
      </c>
      <c r="B106">
        <v>5261.55</v>
      </c>
      <c r="D106" s="7">
        <v>44742</v>
      </c>
      <c r="E106">
        <v>3.818</v>
      </c>
      <c r="G106" s="7">
        <v>44742</v>
      </c>
      <c r="H106">
        <v>21859.79</v>
      </c>
      <c r="J106" s="7">
        <v>44742</v>
      </c>
      <c r="K106">
        <v>3785.38</v>
      </c>
      <c r="M106" s="9" t="s">
        <v>120</v>
      </c>
      <c r="N106" s="9">
        <v>4485.011</v>
      </c>
      <c r="P106" s="9" t="s">
        <v>120</v>
      </c>
      <c r="Q106" s="9">
        <v>6454.078</v>
      </c>
      <c r="S106" s="9" t="s">
        <v>120</v>
      </c>
      <c r="T106" s="9">
        <v>6995.53</v>
      </c>
      <c r="V106" s="9" t="s">
        <v>120</v>
      </c>
      <c r="W106" s="9">
        <v>221.785</v>
      </c>
      <c r="Y106" s="9" t="s">
        <v>120</v>
      </c>
      <c r="Z106" s="9">
        <v>195.482</v>
      </c>
    </row>
    <row r="107" spans="1:26">
      <c r="A107" s="7">
        <v>44771</v>
      </c>
      <c r="B107">
        <v>5337.74</v>
      </c>
      <c r="D107" s="7">
        <v>44771</v>
      </c>
      <c r="E107">
        <v>3.749</v>
      </c>
      <c r="G107" s="7">
        <v>44771</v>
      </c>
      <c r="H107">
        <v>20156.51</v>
      </c>
      <c r="J107" s="7">
        <v>44771</v>
      </c>
      <c r="K107">
        <v>4130.29</v>
      </c>
      <c r="M107" s="9" t="s">
        <v>121</v>
      </c>
      <c r="N107" s="9">
        <v>4170.102</v>
      </c>
      <c r="P107" s="9" t="s">
        <v>121</v>
      </c>
      <c r="Q107" s="9">
        <v>6294.114</v>
      </c>
      <c r="S107" s="9" t="s">
        <v>121</v>
      </c>
      <c r="T107" s="9">
        <v>7117.434</v>
      </c>
      <c r="V107" s="9" t="s">
        <v>121</v>
      </c>
      <c r="W107" s="9">
        <v>223.478</v>
      </c>
      <c r="Y107" s="9" t="s">
        <v>121</v>
      </c>
      <c r="Z107" s="9">
        <v>196.158</v>
      </c>
    </row>
    <row r="108" spans="1:26">
      <c r="A108" s="7">
        <v>44804</v>
      </c>
      <c r="B108">
        <v>4934.38</v>
      </c>
      <c r="D108" s="7">
        <v>44804</v>
      </c>
      <c r="E108">
        <v>3.758</v>
      </c>
      <c r="G108" s="7">
        <v>44804</v>
      </c>
      <c r="H108">
        <v>19954.39</v>
      </c>
      <c r="J108" s="7">
        <v>44804</v>
      </c>
      <c r="K108">
        <v>3955</v>
      </c>
      <c r="M108" s="9" t="s">
        <v>122</v>
      </c>
      <c r="N108" s="9">
        <v>4078.84</v>
      </c>
      <c r="P108" s="9" t="s">
        <v>122</v>
      </c>
      <c r="Q108" s="9">
        <v>6155.746</v>
      </c>
      <c r="S108" s="9" t="s">
        <v>122</v>
      </c>
      <c r="T108" s="9">
        <v>6750.743</v>
      </c>
      <c r="V108" s="9" t="s">
        <v>122</v>
      </c>
      <c r="W108" s="9">
        <v>225.533</v>
      </c>
      <c r="Y108" s="9" t="s">
        <v>122</v>
      </c>
      <c r="Z108" s="9">
        <v>197.442</v>
      </c>
    </row>
    <row r="109" spans="1:26">
      <c r="A109" s="7">
        <v>44834</v>
      </c>
      <c r="B109">
        <v>4095.63</v>
      </c>
      <c r="D109" s="7">
        <v>44834</v>
      </c>
      <c r="E109">
        <v>3.783</v>
      </c>
      <c r="G109" s="7">
        <v>44834</v>
      </c>
      <c r="H109">
        <v>17222.83</v>
      </c>
      <c r="J109" s="7">
        <v>44834</v>
      </c>
      <c r="K109">
        <v>3585.62</v>
      </c>
      <c r="M109" s="9" t="s">
        <v>123</v>
      </c>
      <c r="N109" s="9">
        <v>3804.885</v>
      </c>
      <c r="P109" s="9" t="s">
        <v>123</v>
      </c>
      <c r="Q109" s="9">
        <v>5714.063</v>
      </c>
      <c r="S109" s="9" t="s">
        <v>123</v>
      </c>
      <c r="T109" s="9">
        <v>6124.864</v>
      </c>
      <c r="V109" s="9" t="s">
        <v>123</v>
      </c>
      <c r="W109" s="9">
        <v>225.549</v>
      </c>
      <c r="Y109" s="9" t="s">
        <v>123</v>
      </c>
      <c r="Z109" s="9">
        <v>197.84</v>
      </c>
    </row>
    <row r="110" spans="1:26">
      <c r="A110" s="7">
        <v>44865</v>
      </c>
      <c r="B110">
        <v>3454.55</v>
      </c>
      <c r="D110" s="7">
        <v>44865</v>
      </c>
      <c r="E110">
        <v>3.807</v>
      </c>
      <c r="G110" s="7">
        <v>44865</v>
      </c>
      <c r="H110">
        <v>14687.02</v>
      </c>
      <c r="J110" s="7">
        <v>44865</v>
      </c>
      <c r="K110">
        <v>3871.98</v>
      </c>
      <c r="M110" s="9" t="s">
        <v>124</v>
      </c>
      <c r="N110" s="9">
        <v>3508.703</v>
      </c>
      <c r="P110" s="9" t="s">
        <v>124</v>
      </c>
      <c r="Q110" s="9">
        <v>5807.106</v>
      </c>
      <c r="S110" s="9" t="s">
        <v>124</v>
      </c>
      <c r="T110" s="9">
        <v>6292.619</v>
      </c>
      <c r="V110" s="9" t="s">
        <v>124</v>
      </c>
      <c r="W110" s="9">
        <v>226.869</v>
      </c>
      <c r="Y110" s="9" t="s">
        <v>124</v>
      </c>
      <c r="Z110" s="9">
        <v>198.584</v>
      </c>
    </row>
    <row r="111" spans="1:26">
      <c r="A111" s="7">
        <v>44895</v>
      </c>
      <c r="B111">
        <v>4088.49</v>
      </c>
      <c r="D111" s="7">
        <v>44895</v>
      </c>
      <c r="E111">
        <v>3.944</v>
      </c>
      <c r="G111" s="7">
        <v>44895</v>
      </c>
      <c r="H111">
        <v>18597.23</v>
      </c>
      <c r="J111" s="7">
        <v>44895</v>
      </c>
      <c r="K111">
        <v>4080.11</v>
      </c>
      <c r="M111" s="9" t="s">
        <v>125</v>
      </c>
      <c r="N111" s="9">
        <v>3853.037</v>
      </c>
      <c r="P111" s="9" t="s">
        <v>125</v>
      </c>
      <c r="Q111" s="9">
        <v>6156.147</v>
      </c>
      <c r="S111" s="9" t="s">
        <v>125</v>
      </c>
      <c r="T111" s="9">
        <v>6590.307</v>
      </c>
      <c r="V111" s="9" t="s">
        <v>125</v>
      </c>
      <c r="W111" s="9">
        <v>224.875</v>
      </c>
      <c r="Y111" s="9" t="s">
        <v>125</v>
      </c>
      <c r="Z111" s="9">
        <v>198.197</v>
      </c>
    </row>
    <row r="112" spans="1:26">
      <c r="A112" s="7">
        <v>44925</v>
      </c>
      <c r="B112">
        <v>4511.42</v>
      </c>
      <c r="D112" s="7">
        <v>44925</v>
      </c>
      <c r="E112">
        <v>3.986</v>
      </c>
      <c r="G112" s="7">
        <v>44925</v>
      </c>
      <c r="H112">
        <v>19781.41</v>
      </c>
      <c r="J112" s="7">
        <v>44925</v>
      </c>
      <c r="K112">
        <v>3839.5</v>
      </c>
      <c r="M112" s="9" t="s">
        <v>126</v>
      </c>
      <c r="N112" s="9">
        <v>3871.634</v>
      </c>
      <c r="P112" s="9" t="s">
        <v>126</v>
      </c>
      <c r="Q112" s="9">
        <v>5864.467</v>
      </c>
      <c r="S112" s="9" t="s">
        <v>126</v>
      </c>
      <c r="T112" s="9">
        <v>6281.621</v>
      </c>
      <c r="V112" s="9" t="s">
        <v>126</v>
      </c>
      <c r="W112" s="9">
        <v>225.241</v>
      </c>
      <c r="Y112" s="9" t="s">
        <v>126</v>
      </c>
      <c r="Z112" s="9">
        <v>198.511</v>
      </c>
    </row>
    <row r="113" spans="1:26">
      <c r="A113" s="7">
        <v>44957</v>
      </c>
      <c r="B113">
        <v>5167.66</v>
      </c>
      <c r="D113" s="7">
        <v>44957</v>
      </c>
      <c r="E113">
        <v>4.069</v>
      </c>
      <c r="G113" s="7">
        <v>44957</v>
      </c>
      <c r="H113">
        <v>21842.33</v>
      </c>
      <c r="J113" s="7">
        <v>44957</v>
      </c>
      <c r="K113">
        <v>4076.6</v>
      </c>
      <c r="M113" s="9" t="s">
        <v>127</v>
      </c>
      <c r="N113" s="9">
        <v>4156.858</v>
      </c>
      <c r="P113" s="9" t="s">
        <v>127</v>
      </c>
      <c r="Q113" s="9">
        <v>6289.15</v>
      </c>
      <c r="S113" s="9" t="s">
        <v>127</v>
      </c>
      <c r="T113" s="9">
        <v>6805.276</v>
      </c>
      <c r="V113" s="9" t="s">
        <v>127</v>
      </c>
      <c r="W113" s="9">
        <v>225.611</v>
      </c>
      <c r="Y113" s="9" t="s">
        <v>127</v>
      </c>
      <c r="Z113" s="9">
        <v>199.017</v>
      </c>
    </row>
    <row r="114" spans="1:26">
      <c r="A114" s="7">
        <v>44985</v>
      </c>
      <c r="B114">
        <v>4871.79</v>
      </c>
      <c r="D114" s="7">
        <v>44985</v>
      </c>
      <c r="E114">
        <v>4.015</v>
      </c>
      <c r="G114" s="7">
        <v>44985</v>
      </c>
      <c r="H114">
        <v>19785.94</v>
      </c>
      <c r="J114" s="7">
        <v>44985</v>
      </c>
      <c r="K114">
        <v>3970.15</v>
      </c>
      <c r="M114" s="9" t="s">
        <v>128</v>
      </c>
      <c r="N114" s="9">
        <v>4069.459</v>
      </c>
      <c r="P114" s="9" t="s">
        <v>128</v>
      </c>
      <c r="Q114" s="9">
        <v>6357.535</v>
      </c>
      <c r="S114" s="9" t="s">
        <v>128</v>
      </c>
      <c r="T114" s="9">
        <v>6955.574</v>
      </c>
      <c r="V114" s="9" t="s">
        <v>128</v>
      </c>
      <c r="W114" s="9">
        <v>226.07</v>
      </c>
      <c r="Y114" s="9" t="s">
        <v>128</v>
      </c>
      <c r="Z114" s="9">
        <v>199.275</v>
      </c>
    </row>
    <row r="115" spans="1:26">
      <c r="A115" s="7">
        <v>45016</v>
      </c>
      <c r="B115">
        <v>4615.46</v>
      </c>
      <c r="D115" s="7">
        <v>45016</v>
      </c>
      <c r="E115">
        <v>4.281</v>
      </c>
      <c r="G115" s="7">
        <v>45016</v>
      </c>
      <c r="H115">
        <v>20400.11</v>
      </c>
      <c r="J115" s="7">
        <v>45016</v>
      </c>
      <c r="K115">
        <v>4109.31</v>
      </c>
      <c r="M115" s="9" t="s">
        <v>129</v>
      </c>
      <c r="N115" s="9">
        <v>4050.926</v>
      </c>
      <c r="P115" s="9" t="s">
        <v>129</v>
      </c>
      <c r="Q115" s="9">
        <v>6339.818</v>
      </c>
      <c r="S115" s="9" t="s">
        <v>129</v>
      </c>
      <c r="T115" s="9">
        <v>6875.808</v>
      </c>
      <c r="V115" s="9" t="s">
        <v>129</v>
      </c>
      <c r="W115" s="9">
        <v>227.439</v>
      </c>
      <c r="Y115" s="9" t="s">
        <v>129</v>
      </c>
      <c r="Z115" s="9">
        <v>199.947</v>
      </c>
    </row>
    <row r="116" spans="1:26">
      <c r="A116" s="7">
        <v>45044</v>
      </c>
      <c r="B116">
        <v>4693.73</v>
      </c>
      <c r="D116" s="7">
        <v>45044</v>
      </c>
      <c r="E116">
        <v>4.298</v>
      </c>
      <c r="G116" s="7">
        <v>45044</v>
      </c>
      <c r="H116">
        <v>19894.57</v>
      </c>
      <c r="J116" s="7">
        <v>45044</v>
      </c>
      <c r="K116">
        <v>4169.48</v>
      </c>
      <c r="M116" s="9" t="s">
        <v>130</v>
      </c>
      <c r="N116" s="9">
        <v>4029.086</v>
      </c>
      <c r="P116" s="9" t="s">
        <v>130</v>
      </c>
      <c r="Q116" s="9">
        <v>6241.244</v>
      </c>
      <c r="S116" s="9" t="s">
        <v>130</v>
      </c>
      <c r="T116" s="9">
        <v>6723.305</v>
      </c>
      <c r="V116" s="9" t="s">
        <v>130</v>
      </c>
      <c r="W116" s="9">
        <v>228.83</v>
      </c>
      <c r="Y116" s="9" t="s">
        <v>130</v>
      </c>
      <c r="Z116" s="9">
        <v>200.768</v>
      </c>
    </row>
    <row r="117" spans="1:26">
      <c r="A117" s="7">
        <v>45077</v>
      </c>
      <c r="B117">
        <v>4167.11</v>
      </c>
      <c r="D117" s="7">
        <v>45077</v>
      </c>
      <c r="E117">
        <v>4.365</v>
      </c>
      <c r="G117" s="7">
        <v>45077</v>
      </c>
      <c r="H117">
        <v>18234.27</v>
      </c>
      <c r="J117" s="7">
        <v>45077</v>
      </c>
      <c r="K117">
        <v>4179.83</v>
      </c>
      <c r="M117" s="9" t="s">
        <v>131</v>
      </c>
      <c r="N117" s="9">
        <v>3798.543</v>
      </c>
      <c r="P117" s="9" t="s">
        <v>131</v>
      </c>
      <c r="Q117" s="9">
        <v>6047.802</v>
      </c>
      <c r="S117" s="9" t="s">
        <v>131</v>
      </c>
      <c r="T117" s="9">
        <v>6561.649</v>
      </c>
      <c r="V117" s="9" t="s">
        <v>131</v>
      </c>
      <c r="W117" s="9">
        <v>230.67</v>
      </c>
      <c r="Y117" s="9" t="s">
        <v>131</v>
      </c>
      <c r="Z117" s="9">
        <v>201.899</v>
      </c>
    </row>
    <row r="118" spans="1:26">
      <c r="A118" s="7">
        <v>45107</v>
      </c>
      <c r="B118">
        <v>3945.19</v>
      </c>
      <c r="D118" s="7">
        <v>45107</v>
      </c>
      <c r="E118">
        <v>4.349</v>
      </c>
      <c r="G118" s="7">
        <v>45107</v>
      </c>
      <c r="H118">
        <v>18916.43</v>
      </c>
      <c r="J118" s="7">
        <v>45107</v>
      </c>
      <c r="K118">
        <v>4450.38</v>
      </c>
      <c r="M118" s="9" t="s">
        <v>132</v>
      </c>
      <c r="N118" s="9">
        <v>3842.452</v>
      </c>
      <c r="P118" s="9" t="s">
        <v>132</v>
      </c>
      <c r="Q118" s="9">
        <v>5998.729</v>
      </c>
      <c r="S118" s="9" t="s">
        <v>132</v>
      </c>
      <c r="T118" s="9">
        <v>6602.037</v>
      </c>
      <c r="V118" s="9" t="s">
        <v>132</v>
      </c>
      <c r="W118" s="9">
        <v>231.944</v>
      </c>
      <c r="Y118" s="9" t="s">
        <v>132</v>
      </c>
      <c r="Z118" s="9">
        <v>202.777</v>
      </c>
    </row>
    <row r="119" spans="1:26">
      <c r="A119" s="7">
        <v>45138</v>
      </c>
      <c r="B119">
        <v>3893.85</v>
      </c>
      <c r="D119" s="7">
        <v>45138</v>
      </c>
      <c r="E119">
        <v>4.409</v>
      </c>
      <c r="G119" s="7">
        <v>45138</v>
      </c>
      <c r="H119">
        <v>20078.94</v>
      </c>
      <c r="J119" s="7">
        <v>45138</v>
      </c>
      <c r="K119">
        <v>4588.96</v>
      </c>
      <c r="M119" s="9" t="s">
        <v>133</v>
      </c>
      <c r="N119" s="9">
        <v>4014.63</v>
      </c>
      <c r="P119" s="9" t="s">
        <v>133</v>
      </c>
      <c r="Q119" s="9">
        <v>6088.243</v>
      </c>
      <c r="S119" s="9" t="s">
        <v>133</v>
      </c>
      <c r="T119" s="9">
        <v>6515.849</v>
      </c>
      <c r="V119" s="9" t="s">
        <v>133</v>
      </c>
      <c r="W119" s="9">
        <v>232.741</v>
      </c>
      <c r="Y119" s="9" t="s">
        <v>133</v>
      </c>
      <c r="Z119" s="9">
        <v>203.383</v>
      </c>
    </row>
    <row r="120" spans="1:26">
      <c r="A120" s="7">
        <v>45169</v>
      </c>
      <c r="B120">
        <v>3468.38</v>
      </c>
      <c r="D120" s="7">
        <v>45169</v>
      </c>
      <c r="E120">
        <v>4.494</v>
      </c>
      <c r="G120" s="7">
        <v>45169</v>
      </c>
      <c r="H120">
        <v>18382.06</v>
      </c>
      <c r="J120" s="7">
        <v>45169</v>
      </c>
      <c r="K120">
        <v>4507.66</v>
      </c>
      <c r="M120" s="9" t="s">
        <v>134</v>
      </c>
      <c r="N120" s="9">
        <v>3765.268</v>
      </c>
      <c r="P120" s="9" t="s">
        <v>134</v>
      </c>
      <c r="Q120" s="9">
        <v>5739.398</v>
      </c>
      <c r="S120" s="9" t="s">
        <v>134</v>
      </c>
      <c r="T120" s="9">
        <v>6104.295</v>
      </c>
      <c r="V120" s="9" t="s">
        <v>134</v>
      </c>
      <c r="W120" s="9">
        <v>234.562</v>
      </c>
      <c r="Y120" s="9" t="s">
        <v>134</v>
      </c>
      <c r="Z120" s="9">
        <v>204.411</v>
      </c>
    </row>
    <row r="121" spans="1:26">
      <c r="A121" s="7">
        <v>45197</v>
      </c>
      <c r="B121">
        <v>3297.24</v>
      </c>
      <c r="D121" s="7">
        <v>45197</v>
      </c>
      <c r="E121">
        <v>4.436</v>
      </c>
      <c r="G121" s="7">
        <v>45197</v>
      </c>
      <c r="H121">
        <v>17809.66</v>
      </c>
      <c r="J121" s="7">
        <v>45197</v>
      </c>
      <c r="K121">
        <v>4288.05</v>
      </c>
      <c r="M121" s="9" t="s">
        <v>135</v>
      </c>
      <c r="N121" s="9">
        <v>3689.517</v>
      </c>
      <c r="P121" s="9" t="s">
        <v>135</v>
      </c>
      <c r="Q121" s="9">
        <v>5690.77</v>
      </c>
      <c r="S121" s="9" t="s">
        <v>135</v>
      </c>
      <c r="T121" s="9">
        <v>6078.945</v>
      </c>
      <c r="V121" s="9" t="s">
        <v>135</v>
      </c>
      <c r="W121" s="9">
        <v>233.643</v>
      </c>
      <c r="Y121" s="9" t="s">
        <v>135</v>
      </c>
      <c r="Z121" s="9">
        <v>204.443</v>
      </c>
    </row>
    <row r="122" spans="1:26">
      <c r="A122" s="7">
        <v>45230</v>
      </c>
      <c r="B122">
        <v>2991.64</v>
      </c>
      <c r="D122" s="7">
        <v>45230</v>
      </c>
      <c r="E122">
        <v>4.62</v>
      </c>
      <c r="G122" s="7">
        <v>45230</v>
      </c>
      <c r="H122">
        <v>17112.48</v>
      </c>
      <c r="J122" s="7">
        <v>45230</v>
      </c>
      <c r="K122">
        <v>4193.8</v>
      </c>
      <c r="M122" s="9" t="s">
        <v>136</v>
      </c>
      <c r="N122" s="9">
        <v>3572.506</v>
      </c>
      <c r="P122" s="9" t="s">
        <v>136</v>
      </c>
      <c r="Q122" s="9">
        <v>5528.239</v>
      </c>
      <c r="S122" s="9" t="s">
        <v>136</v>
      </c>
      <c r="T122" s="9">
        <v>5969.341</v>
      </c>
      <c r="V122" s="9" t="s">
        <v>136</v>
      </c>
      <c r="W122" s="9">
        <v>233.317</v>
      </c>
      <c r="Y122" s="9" t="s">
        <v>136</v>
      </c>
      <c r="Z122" s="9">
        <v>204.794</v>
      </c>
    </row>
    <row r="123" spans="1:26">
      <c r="A123" s="7">
        <v>45260</v>
      </c>
      <c r="B123">
        <v>3269.17</v>
      </c>
      <c r="D123" s="7">
        <v>45260</v>
      </c>
      <c r="E123">
        <v>4.589</v>
      </c>
      <c r="G123" s="7">
        <v>45260</v>
      </c>
      <c r="H123">
        <v>17042.88</v>
      </c>
      <c r="J123" s="7">
        <v>45260</v>
      </c>
      <c r="K123">
        <v>4567.8</v>
      </c>
      <c r="M123" s="9" t="s">
        <v>137</v>
      </c>
      <c r="N123" s="9">
        <v>3496.203</v>
      </c>
      <c r="P123" s="9" t="s">
        <v>137</v>
      </c>
      <c r="Q123" s="9">
        <v>5545.05</v>
      </c>
      <c r="S123" s="9" t="s">
        <v>137</v>
      </c>
      <c r="T123" s="9">
        <v>6080.547</v>
      </c>
      <c r="V123" s="9" t="s">
        <v>137</v>
      </c>
      <c r="W123" s="9">
        <v>234.219</v>
      </c>
      <c r="Y123" s="9" t="s">
        <v>137</v>
      </c>
      <c r="Z123" s="9">
        <v>205.253</v>
      </c>
    </row>
    <row r="124" spans="1:26">
      <c r="A124" s="7">
        <v>45289</v>
      </c>
      <c r="B124">
        <v>3468.74</v>
      </c>
      <c r="D124" s="7">
        <v>45289</v>
      </c>
      <c r="E124">
        <v>4.648</v>
      </c>
      <c r="G124" s="7">
        <v>45289</v>
      </c>
      <c r="H124">
        <v>17047.39</v>
      </c>
      <c r="J124" s="7">
        <v>45289</v>
      </c>
      <c r="K124">
        <v>4769.83</v>
      </c>
      <c r="M124" s="9" t="s">
        <v>138</v>
      </c>
      <c r="N124" s="9">
        <v>3431.11</v>
      </c>
      <c r="P124" s="9" t="s">
        <v>138</v>
      </c>
      <c r="Q124" s="9">
        <v>5429.229</v>
      </c>
      <c r="S124" s="9" t="s">
        <v>138</v>
      </c>
      <c r="T124" s="9">
        <v>5887.235</v>
      </c>
      <c r="V124" s="9" t="s">
        <v>138</v>
      </c>
      <c r="W124" s="9">
        <v>237.015</v>
      </c>
      <c r="Y124" s="9" t="s">
        <v>138</v>
      </c>
      <c r="Z124" s="9">
        <v>206.034</v>
      </c>
    </row>
    <row r="125" spans="1:26">
      <c r="A125" s="7">
        <v>45322</v>
      </c>
      <c r="B125">
        <v>3053.4</v>
      </c>
      <c r="D125" s="7">
        <v>45322</v>
      </c>
      <c r="E125">
        <v>4.653</v>
      </c>
      <c r="G125" s="7">
        <v>45322</v>
      </c>
      <c r="H125">
        <v>15485.07</v>
      </c>
      <c r="J125" s="7">
        <v>45322</v>
      </c>
      <c r="K125">
        <v>4845.65</v>
      </c>
      <c r="M125" s="9" t="s">
        <v>139</v>
      </c>
      <c r="N125" s="9">
        <v>3215.352</v>
      </c>
      <c r="P125" s="9" t="s">
        <v>139</v>
      </c>
      <c r="Q125" s="9">
        <v>4696.98</v>
      </c>
      <c r="S125" s="9" t="s">
        <v>139</v>
      </c>
      <c r="T125" s="9">
        <v>4785.032</v>
      </c>
      <c r="V125" s="9" t="s">
        <v>139</v>
      </c>
      <c r="W125" s="9">
        <v>240.005</v>
      </c>
      <c r="Y125" s="9" t="s">
        <v>139</v>
      </c>
      <c r="Z125" s="9">
        <v>208.067</v>
      </c>
    </row>
    <row r="126" spans="1:26">
      <c r="A126" s="7">
        <v>45351</v>
      </c>
      <c r="B126">
        <v>3044.41</v>
      </c>
      <c r="D126" s="7">
        <v>45351</v>
      </c>
      <c r="E126">
        <v>4.647</v>
      </c>
      <c r="G126" s="7">
        <v>45351</v>
      </c>
      <c r="H126">
        <v>16511.44</v>
      </c>
      <c r="J126" s="7">
        <v>45351</v>
      </c>
      <c r="K126">
        <v>5096.27</v>
      </c>
      <c r="M126" s="9" t="s">
        <v>140</v>
      </c>
      <c r="N126" s="9">
        <v>3516.083</v>
      </c>
      <c r="P126" s="9" t="s">
        <v>140</v>
      </c>
      <c r="Q126" s="9">
        <v>5346.793</v>
      </c>
      <c r="S126" s="9" t="s">
        <v>140</v>
      </c>
      <c r="T126" s="9">
        <v>5344.605</v>
      </c>
      <c r="V126" s="9" t="s">
        <v>140</v>
      </c>
      <c r="W126" s="9">
        <v>242.031</v>
      </c>
      <c r="Y126" s="9" t="s">
        <v>140</v>
      </c>
      <c r="Z126" s="9">
        <v>209.298</v>
      </c>
    </row>
    <row r="127" spans="1:26">
      <c r="A127" s="7">
        <v>45380</v>
      </c>
      <c r="B127">
        <v>2704.87</v>
      </c>
      <c r="D127" s="7">
        <v>45380</v>
      </c>
      <c r="E127">
        <v>5.126</v>
      </c>
      <c r="G127" s="7">
        <v>45380</v>
      </c>
      <c r="H127">
        <v>16541.42</v>
      </c>
      <c r="J127" s="7">
        <v>45380</v>
      </c>
      <c r="K127">
        <v>5254.35</v>
      </c>
      <c r="M127" s="9" t="s">
        <v>141</v>
      </c>
      <c r="N127" s="9">
        <v>3537.484</v>
      </c>
      <c r="P127" s="9" t="s">
        <v>141</v>
      </c>
      <c r="Q127" s="9">
        <v>5286.161</v>
      </c>
      <c r="S127" s="9" t="s">
        <v>141</v>
      </c>
      <c r="T127" s="9">
        <v>5441.26</v>
      </c>
      <c r="V127" s="9" t="s">
        <v>141</v>
      </c>
      <c r="W127" s="9">
        <v>242.557</v>
      </c>
      <c r="Y127" s="9" t="s">
        <v>141</v>
      </c>
      <c r="Z127" s="9">
        <v>210.089</v>
      </c>
    </row>
    <row r="128" spans="1:26">
      <c r="A128" s="7">
        <v>45412</v>
      </c>
      <c r="B128">
        <v>2590.69</v>
      </c>
      <c r="D128" s="7">
        <v>45412</v>
      </c>
      <c r="E128">
        <v>5.286</v>
      </c>
      <c r="G128" s="7">
        <v>45412</v>
      </c>
      <c r="H128">
        <v>17763.03</v>
      </c>
      <c r="J128" s="7">
        <v>45412</v>
      </c>
      <c r="K128">
        <v>5035.69</v>
      </c>
      <c r="M128" s="9" t="s">
        <v>142</v>
      </c>
      <c r="N128" s="9">
        <v>3604.394</v>
      </c>
      <c r="P128" s="9" t="s">
        <v>142</v>
      </c>
      <c r="Q128" s="9">
        <v>5441.141</v>
      </c>
      <c r="S128" s="9" t="s">
        <v>142</v>
      </c>
      <c r="T128" s="9">
        <v>5497.43</v>
      </c>
      <c r="V128" s="9" t="s">
        <v>142</v>
      </c>
      <c r="W128" s="9">
        <v>243.927</v>
      </c>
      <c r="Y128" s="9" t="s">
        <v>142</v>
      </c>
      <c r="Z128" s="9">
        <v>211.855</v>
      </c>
    </row>
    <row r="129" spans="1:26">
      <c r="A129" s="7">
        <v>45443</v>
      </c>
      <c r="B129">
        <v>2692.76</v>
      </c>
      <c r="D129" s="7">
        <v>45443</v>
      </c>
      <c r="E129">
        <v>5.343</v>
      </c>
      <c r="G129" s="7">
        <v>45443</v>
      </c>
      <c r="H129">
        <v>18079.61</v>
      </c>
      <c r="J129" s="7">
        <v>45443</v>
      </c>
      <c r="K129">
        <v>5277.51</v>
      </c>
      <c r="M129" s="9" t="s">
        <v>143</v>
      </c>
      <c r="N129" s="9">
        <v>3579.925</v>
      </c>
      <c r="P129" s="9" t="s">
        <v>143</v>
      </c>
      <c r="Q129" s="9">
        <v>5308.54</v>
      </c>
      <c r="S129" s="9" t="s">
        <v>143</v>
      </c>
      <c r="T129" s="9">
        <v>5355.21</v>
      </c>
      <c r="V129" s="9" t="s">
        <v>143</v>
      </c>
      <c r="W129" s="9">
        <v>244.795</v>
      </c>
      <c r="Y129" s="9" t="s">
        <v>143</v>
      </c>
      <c r="Z129" s="9">
        <v>212.693</v>
      </c>
    </row>
    <row r="130" spans="1:26">
      <c r="A130" s="7">
        <v>45471</v>
      </c>
      <c r="B130">
        <v>2548.37</v>
      </c>
      <c r="D130" s="7">
        <v>45471</v>
      </c>
      <c r="E130">
        <v>5.297</v>
      </c>
      <c r="G130" s="7">
        <v>45471</v>
      </c>
      <c r="H130">
        <v>17718.61</v>
      </c>
      <c r="J130" s="7">
        <v>45471</v>
      </c>
      <c r="K130">
        <v>5460.48</v>
      </c>
      <c r="M130" s="9" t="s">
        <v>144</v>
      </c>
      <c r="N130" s="9">
        <v>3461.657</v>
      </c>
      <c r="P130" s="9" t="s">
        <v>144</v>
      </c>
      <c r="Q130" s="9">
        <v>4942.782</v>
      </c>
      <c r="S130" s="9" t="s">
        <v>144</v>
      </c>
      <c r="T130" s="9">
        <v>4895.987</v>
      </c>
      <c r="V130" s="9" t="s">
        <v>144</v>
      </c>
      <c r="W130" s="9">
        <v>247.221</v>
      </c>
      <c r="Y130" s="9" t="s">
        <v>144</v>
      </c>
      <c r="Z130" s="9">
        <v>214.139</v>
      </c>
    </row>
    <row r="131" spans="1:26">
      <c r="A131" s="7">
        <v>45504</v>
      </c>
      <c r="B131">
        <v>2642.93</v>
      </c>
      <c r="D131" s="7">
        <v>45504</v>
      </c>
      <c r="E131">
        <v>5.436</v>
      </c>
      <c r="G131" s="7">
        <v>45504</v>
      </c>
      <c r="H131">
        <v>17344.6</v>
      </c>
      <c r="J131" s="7">
        <v>45504</v>
      </c>
      <c r="K131">
        <v>5522.3</v>
      </c>
      <c r="M131" s="9" t="s">
        <v>145</v>
      </c>
      <c r="N131" s="9">
        <v>3442.084</v>
      </c>
      <c r="P131" s="9" t="s">
        <v>145</v>
      </c>
      <c r="Q131" s="9">
        <v>4886.414</v>
      </c>
      <c r="S131" s="9" t="s">
        <v>145</v>
      </c>
      <c r="T131" s="9">
        <v>4889.081</v>
      </c>
      <c r="V131" s="9" t="s">
        <v>145</v>
      </c>
      <c r="W131" s="9">
        <v>249.29</v>
      </c>
      <c r="Y131" s="9" t="s">
        <v>145</v>
      </c>
      <c r="Z131" s="9">
        <v>215.459</v>
      </c>
    </row>
    <row r="132" spans="1:26">
      <c r="A132" s="7">
        <v>45534</v>
      </c>
      <c r="B132">
        <v>2848.95</v>
      </c>
      <c r="D132" s="7">
        <v>45534</v>
      </c>
      <c r="E132">
        <v>5.522</v>
      </c>
      <c r="G132" s="7">
        <v>45534</v>
      </c>
      <c r="H132">
        <v>17989.07</v>
      </c>
      <c r="J132" s="7">
        <v>45534</v>
      </c>
      <c r="K132">
        <v>5648.4</v>
      </c>
      <c r="M132" s="9" t="s">
        <v>146</v>
      </c>
      <c r="N132" s="9">
        <v>3321.432</v>
      </c>
      <c r="P132" s="9" t="s">
        <v>146</v>
      </c>
      <c r="Q132" s="9">
        <v>4639.114</v>
      </c>
      <c r="S132" s="9" t="s">
        <v>146</v>
      </c>
      <c r="T132" s="9">
        <v>4629.32</v>
      </c>
      <c r="V132" s="9" t="s">
        <v>146</v>
      </c>
      <c r="W132" s="9">
        <v>249.652</v>
      </c>
      <c r="Y132" s="9" t="s">
        <v>146</v>
      </c>
      <c r="Z132" s="9">
        <v>216.285</v>
      </c>
    </row>
    <row r="133" spans="1:26">
      <c r="A133" s="7">
        <v>45565</v>
      </c>
      <c r="B133">
        <v>3161.71</v>
      </c>
      <c r="D133" s="7">
        <v>45565</v>
      </c>
      <c r="E133">
        <v>5.707</v>
      </c>
      <c r="G133" s="7">
        <v>45565</v>
      </c>
      <c r="H133">
        <v>21133.68</v>
      </c>
      <c r="J133" s="7">
        <v>45565</v>
      </c>
      <c r="K133">
        <v>5762.48</v>
      </c>
      <c r="M133" s="9" t="s">
        <v>147</v>
      </c>
      <c r="N133" s="9">
        <v>4017.855</v>
      </c>
      <c r="P133" s="9" t="s">
        <v>147</v>
      </c>
      <c r="Q133" s="9">
        <v>5743.217</v>
      </c>
      <c r="S133" s="9" t="s">
        <v>147</v>
      </c>
      <c r="T133" s="9">
        <v>5708.826</v>
      </c>
      <c r="V133" s="9" t="s">
        <v>147</v>
      </c>
      <c r="W133" s="9">
        <v>250.298</v>
      </c>
      <c r="Y133" s="9" t="s">
        <v>147</v>
      </c>
      <c r="Z133" s="9">
        <v>216.946</v>
      </c>
    </row>
    <row r="134" spans="1:26">
      <c r="A134" s="7">
        <v>45596</v>
      </c>
      <c r="B134">
        <v>2866.7</v>
      </c>
      <c r="D134" s="7">
        <v>45596</v>
      </c>
      <c r="E134">
        <v>6.103</v>
      </c>
      <c r="G134" s="7">
        <v>45596</v>
      </c>
      <c r="H134">
        <v>20317.33</v>
      </c>
      <c r="J134" s="7">
        <v>45596</v>
      </c>
      <c r="K134">
        <v>5705.45</v>
      </c>
      <c r="M134" s="9" t="s">
        <v>148</v>
      </c>
      <c r="N134" s="9">
        <v>3891.04</v>
      </c>
      <c r="P134" s="9" t="s">
        <v>148</v>
      </c>
      <c r="Q134" s="9">
        <v>5901.29</v>
      </c>
      <c r="S134" s="9" t="s">
        <v>148</v>
      </c>
      <c r="T134" s="9">
        <v>6116.663</v>
      </c>
      <c r="V134" s="9" t="s">
        <v>148</v>
      </c>
      <c r="W134" s="9">
        <v>250.251</v>
      </c>
      <c r="Y134" s="9" t="s">
        <v>148</v>
      </c>
      <c r="Z134" s="9">
        <v>217.472</v>
      </c>
    </row>
    <row r="135" spans="1:26">
      <c r="A135" s="7">
        <v>45625</v>
      </c>
      <c r="B135">
        <v>2732.75</v>
      </c>
      <c r="D135" s="7">
        <v>45625</v>
      </c>
      <c r="E135">
        <v>5.923</v>
      </c>
      <c r="G135" s="7">
        <v>45625</v>
      </c>
      <c r="H135">
        <v>19423.61</v>
      </c>
      <c r="J135" s="7">
        <v>45625</v>
      </c>
      <c r="K135">
        <v>6032.38</v>
      </c>
      <c r="M135" s="9" t="s">
        <v>149</v>
      </c>
      <c r="N135" s="9">
        <v>3916.583</v>
      </c>
      <c r="P135" s="9" t="s">
        <v>149</v>
      </c>
      <c r="Q135" s="9">
        <v>5851.939</v>
      </c>
      <c r="S135" s="9" t="s">
        <v>149</v>
      </c>
      <c r="T135" s="9">
        <v>6189.128</v>
      </c>
      <c r="V135" s="9" t="s">
        <v>149</v>
      </c>
      <c r="W135" s="9">
        <v>252.787</v>
      </c>
      <c r="Y135" s="9" t="s">
        <v>149</v>
      </c>
      <c r="Z135" s="9">
        <v>219.351</v>
      </c>
    </row>
    <row r="136" spans="1:26">
      <c r="A136" s="7">
        <v>45657</v>
      </c>
      <c r="B136">
        <v>2684.72</v>
      </c>
      <c r="D136" s="7">
        <v>45657</v>
      </c>
      <c r="E136">
        <v>5.928</v>
      </c>
      <c r="G136" s="7">
        <v>45657</v>
      </c>
      <c r="H136">
        <v>20059.95</v>
      </c>
      <c r="J136" s="7">
        <v>45657</v>
      </c>
      <c r="K136">
        <v>5881.63</v>
      </c>
      <c r="M136" s="9" t="s">
        <v>150</v>
      </c>
      <c r="N136" s="9">
        <v>3934.911</v>
      </c>
      <c r="P136" s="9" t="s">
        <v>150</v>
      </c>
      <c r="Q136" s="9">
        <v>5725.732</v>
      </c>
      <c r="S136" s="9" t="s">
        <v>150</v>
      </c>
      <c r="T136" s="9">
        <v>5957.717</v>
      </c>
      <c r="V136" s="9" t="s">
        <v>150</v>
      </c>
      <c r="W136" s="9">
        <v>257.932</v>
      </c>
      <c r="Y136" s="9" t="s">
        <v>150</v>
      </c>
      <c r="Z136" s="9">
        <v>222.605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"/>
  <sheetViews>
    <sheetView tabSelected="1" zoomScale="77" zoomScaleNormal="77" workbookViewId="0">
      <selection activeCell="O6" sqref="O6"/>
    </sheetView>
  </sheetViews>
  <sheetFormatPr defaultColWidth="9.14285714285714" defaultRowHeight="16.8"/>
  <cols>
    <col min="1" max="1" width="18.5" customWidth="1"/>
    <col min="2" max="2" width="20.9375" customWidth="1"/>
    <col min="3" max="3" width="13.9285714285714"/>
    <col min="4" max="4" width="12.7857142857143"/>
    <col min="5" max="5" width="17.4910714285714" customWidth="1"/>
    <col min="6" max="6" width="13.9285714285714"/>
    <col min="8" max="8" width="9.57142857142857"/>
    <col min="9" max="9" width="13.9285714285714"/>
    <col min="12" max="12" width="13.9285714285714"/>
    <col min="15" max="16" width="13.9285714285714"/>
    <col min="17" max="17" width="12.7857142857143"/>
    <col min="19" max="19" width="12.7857142857143"/>
  </cols>
  <sheetData>
    <row r="1" spans="2:14">
      <c r="B1" s="1" t="s">
        <v>12</v>
      </c>
      <c r="E1" s="1" t="s">
        <v>13</v>
      </c>
      <c r="H1" s="1" t="s">
        <v>14</v>
      </c>
      <c r="K1" s="1" t="s">
        <v>15</v>
      </c>
      <c r="N1" s="1" t="s">
        <v>16</v>
      </c>
    </row>
    <row r="2" spans="2:14">
      <c r="B2" s="1" t="s">
        <v>17</v>
      </c>
      <c r="E2" s="1">
        <v>905</v>
      </c>
      <c r="H2" s="1">
        <v>852</v>
      </c>
      <c r="K2" s="1" t="s">
        <v>18</v>
      </c>
      <c r="N2" s="1">
        <v>12</v>
      </c>
    </row>
    <row r="3" spans="1:14">
      <c r="A3" t="s">
        <v>4</v>
      </c>
      <c r="B3" t="s">
        <v>5</v>
      </c>
      <c r="D3" t="s">
        <v>4</v>
      </c>
      <c r="E3" t="s">
        <v>5</v>
      </c>
      <c r="G3" t="s">
        <v>4</v>
      </c>
      <c r="H3" t="s">
        <v>5</v>
      </c>
      <c r="J3" t="s">
        <v>4</v>
      </c>
      <c r="K3" t="s">
        <v>5</v>
      </c>
      <c r="M3" t="s">
        <v>4</v>
      </c>
      <c r="N3" t="s">
        <v>5</v>
      </c>
    </row>
    <row r="4" spans="1:14">
      <c r="A4" t="s">
        <v>6</v>
      </c>
      <c r="B4" t="s">
        <v>7</v>
      </c>
      <c r="D4" t="s">
        <v>6</v>
      </c>
      <c r="E4" t="s">
        <v>7</v>
      </c>
      <c r="G4" t="s">
        <v>6</v>
      </c>
      <c r="H4" t="s">
        <v>7</v>
      </c>
      <c r="J4" t="s">
        <v>6</v>
      </c>
      <c r="K4" t="s">
        <v>7</v>
      </c>
      <c r="M4" t="s">
        <v>6</v>
      </c>
      <c r="N4" t="s">
        <v>7</v>
      </c>
    </row>
    <row r="5" spans="1:14">
      <c r="A5" s="1" t="s">
        <v>30</v>
      </c>
      <c r="B5" s="1">
        <v>3533.705</v>
      </c>
      <c r="C5"/>
      <c r="D5" s="1" t="s">
        <v>30</v>
      </c>
      <c r="E5" s="1">
        <v>5322.714</v>
      </c>
      <c r="F5"/>
      <c r="G5" s="1" t="s">
        <v>30</v>
      </c>
      <c r="H5" s="1">
        <v>6027.52</v>
      </c>
      <c r="I5"/>
      <c r="J5" s="1" t="s">
        <v>30</v>
      </c>
      <c r="K5" s="1">
        <v>158.32</v>
      </c>
      <c r="L5"/>
      <c r="M5" s="1" t="s">
        <v>30</v>
      </c>
      <c r="N5" s="1">
        <v>145.679</v>
      </c>
    </row>
    <row r="6" spans="1:19">
      <c r="A6" s="1" t="s">
        <v>31</v>
      </c>
      <c r="B6" s="1">
        <v>3434.39</v>
      </c>
      <c r="C6">
        <f t="shared" ref="C5:C27" si="0">(B6-B5)/B5</f>
        <v>-0.0281050625335165</v>
      </c>
      <c r="D6" s="1" t="s">
        <v>31</v>
      </c>
      <c r="E6" s="1">
        <v>5632.728</v>
      </c>
      <c r="F6">
        <f t="shared" ref="F5:F27" si="1">(E6-E5)/E5</f>
        <v>0.0582435952786492</v>
      </c>
      <c r="G6" s="1" t="s">
        <v>31</v>
      </c>
      <c r="H6" s="1">
        <v>6546.597</v>
      </c>
      <c r="I6">
        <f t="shared" ref="I5:I27" si="2">(H6-H5)/H5</f>
        <v>0.0861178395094499</v>
      </c>
      <c r="J6" s="1" t="s">
        <v>31</v>
      </c>
      <c r="K6" s="1">
        <v>160.054</v>
      </c>
      <c r="L6">
        <f t="shared" ref="L5:L27" si="3">(K6-K5)/K5</f>
        <v>0.0109525012632643</v>
      </c>
      <c r="M6" s="1" t="s">
        <v>31</v>
      </c>
      <c r="N6" s="1">
        <v>146.672</v>
      </c>
      <c r="O6">
        <f t="shared" ref="O5:O27" si="4">(N6-N5)/N5</f>
        <v>0.00681635650986069</v>
      </c>
      <c r="P6">
        <f>AVERAGE(F6,C6,I6,L6,O6)</f>
        <v>0.0268050460055415</v>
      </c>
      <c r="Q6">
        <f>P6+1</f>
        <v>1.02680504600554</v>
      </c>
      <c r="S6">
        <f>C6+1</f>
        <v>0.971894937466483</v>
      </c>
    </row>
    <row r="7" spans="1:19">
      <c r="A7" s="1" t="s">
        <v>32</v>
      </c>
      <c r="B7" s="1">
        <v>3572.843</v>
      </c>
      <c r="C7">
        <f t="shared" si="0"/>
        <v>0.040313709275883</v>
      </c>
      <c r="D7" s="1" t="s">
        <v>32</v>
      </c>
      <c r="E7" s="1">
        <v>6018.463</v>
      </c>
      <c r="F7">
        <f t="shared" si="1"/>
        <v>0.0684810273103902</v>
      </c>
      <c r="G7" s="1" t="s">
        <v>32</v>
      </c>
      <c r="H7" s="1">
        <v>7141.888</v>
      </c>
      <c r="I7">
        <f t="shared" si="2"/>
        <v>0.0909313647991468</v>
      </c>
      <c r="J7" s="1" t="s">
        <v>32</v>
      </c>
      <c r="K7" s="1">
        <v>161.29</v>
      </c>
      <c r="L7">
        <f t="shared" si="3"/>
        <v>0.00772239369212884</v>
      </c>
      <c r="M7" s="1" t="s">
        <v>32</v>
      </c>
      <c r="N7" s="1">
        <v>147.598</v>
      </c>
      <c r="O7">
        <f t="shared" si="4"/>
        <v>0.00631340678520792</v>
      </c>
      <c r="P7">
        <f t="shared" ref="P7:P38" si="5">AVERAGE(F7,C7,I7,L7,O7)</f>
        <v>0.0427523803725514</v>
      </c>
      <c r="Q7">
        <f t="shared" ref="Q7:Q38" si="6">P7+1</f>
        <v>1.04275238037255</v>
      </c>
      <c r="S7">
        <f t="shared" ref="S7:S38" si="7">C7+1</f>
        <v>1.04031370927588</v>
      </c>
    </row>
    <row r="8" spans="1:19">
      <c r="A8" s="1" t="s">
        <v>33</v>
      </c>
      <c r="B8" s="1">
        <v>4051.204</v>
      </c>
      <c r="C8">
        <f t="shared" si="0"/>
        <v>0.133888054974708</v>
      </c>
      <c r="D8" s="1" t="s">
        <v>33</v>
      </c>
      <c r="E8" s="1">
        <v>7253.104</v>
      </c>
      <c r="F8">
        <f t="shared" si="1"/>
        <v>0.205142243127523</v>
      </c>
      <c r="G8" s="1" t="s">
        <v>33</v>
      </c>
      <c r="H8" s="1">
        <v>8780.739</v>
      </c>
      <c r="I8">
        <f t="shared" si="2"/>
        <v>0.229470274526848</v>
      </c>
      <c r="J8" s="1" t="s">
        <v>33</v>
      </c>
      <c r="K8" s="1">
        <v>159.81</v>
      </c>
      <c r="L8">
        <f t="shared" si="3"/>
        <v>-0.00917601835203664</v>
      </c>
      <c r="M8" s="1" t="s">
        <v>33</v>
      </c>
      <c r="N8" s="1">
        <v>147.966</v>
      </c>
      <c r="O8">
        <f t="shared" si="4"/>
        <v>0.00249325871624273</v>
      </c>
      <c r="P8">
        <f t="shared" si="5"/>
        <v>0.112363562598657</v>
      </c>
      <c r="Q8">
        <f t="shared" si="6"/>
        <v>1.11236356259866</v>
      </c>
      <c r="S8">
        <f t="shared" si="7"/>
        <v>1.13388805497471</v>
      </c>
    </row>
    <row r="9" spans="1:19">
      <c r="A9" s="1" t="s">
        <v>34</v>
      </c>
      <c r="B9" s="1">
        <v>4749.886</v>
      </c>
      <c r="C9">
        <f t="shared" si="0"/>
        <v>0.17246280365047</v>
      </c>
      <c r="D9" s="1" t="s">
        <v>34</v>
      </c>
      <c r="E9" s="1">
        <v>8469.673</v>
      </c>
      <c r="F9">
        <f t="shared" si="1"/>
        <v>0.167730808768218</v>
      </c>
      <c r="G9" s="1" t="s">
        <v>34</v>
      </c>
      <c r="H9" s="1">
        <v>10180.49</v>
      </c>
      <c r="I9">
        <f t="shared" si="2"/>
        <v>0.159411525613049</v>
      </c>
      <c r="J9" s="1" t="s">
        <v>34</v>
      </c>
      <c r="K9" s="1">
        <v>161.974</v>
      </c>
      <c r="L9">
        <f t="shared" si="3"/>
        <v>0.0135410800325386</v>
      </c>
      <c r="M9" s="1" t="s">
        <v>34</v>
      </c>
      <c r="N9" s="1">
        <v>148.522</v>
      </c>
      <c r="O9">
        <f t="shared" si="4"/>
        <v>0.00375761999378224</v>
      </c>
      <c r="P9">
        <f t="shared" si="5"/>
        <v>0.103380767611612</v>
      </c>
      <c r="Q9">
        <f t="shared" si="6"/>
        <v>1.10338076761161</v>
      </c>
      <c r="S9">
        <f t="shared" si="7"/>
        <v>1.17246280365047</v>
      </c>
    </row>
    <row r="10" spans="1:19">
      <c r="A10" s="1" t="s">
        <v>35</v>
      </c>
      <c r="B10" s="1">
        <v>4840.829</v>
      </c>
      <c r="C10">
        <f t="shared" si="0"/>
        <v>0.0191463542493439</v>
      </c>
      <c r="D10" s="1" t="s">
        <v>35</v>
      </c>
      <c r="E10" s="1">
        <v>9966.845</v>
      </c>
      <c r="F10">
        <f t="shared" si="1"/>
        <v>0.176768571820895</v>
      </c>
      <c r="G10" s="1" t="s">
        <v>35</v>
      </c>
      <c r="H10" s="1">
        <v>13027.21</v>
      </c>
      <c r="I10">
        <f t="shared" si="2"/>
        <v>0.279625047517359</v>
      </c>
      <c r="J10" s="1" t="s">
        <v>35</v>
      </c>
      <c r="K10" s="1">
        <v>162.645</v>
      </c>
      <c r="L10">
        <f t="shared" si="3"/>
        <v>0.00414264017681863</v>
      </c>
      <c r="M10" s="1" t="s">
        <v>35</v>
      </c>
      <c r="N10" s="1">
        <v>148.911</v>
      </c>
      <c r="O10">
        <f t="shared" si="4"/>
        <v>0.00261914059869925</v>
      </c>
      <c r="P10">
        <f t="shared" si="5"/>
        <v>0.0964603508726233</v>
      </c>
      <c r="Q10">
        <f t="shared" si="6"/>
        <v>1.09646035087262</v>
      </c>
      <c r="S10">
        <f t="shared" si="7"/>
        <v>1.01914635424934</v>
      </c>
    </row>
    <row r="11" spans="1:19">
      <c r="A11" s="1" t="s">
        <v>36</v>
      </c>
      <c r="B11" s="1">
        <v>4472.998</v>
      </c>
      <c r="C11">
        <f t="shared" si="0"/>
        <v>-0.0759851256881828</v>
      </c>
      <c r="D11" s="1" t="s">
        <v>36</v>
      </c>
      <c r="E11" s="1">
        <v>8906.02</v>
      </c>
      <c r="F11">
        <f t="shared" si="1"/>
        <v>-0.10643538652402</v>
      </c>
      <c r="G11" s="1" t="s">
        <v>36</v>
      </c>
      <c r="H11" s="1">
        <v>11381.47</v>
      </c>
      <c r="I11">
        <f t="shared" si="2"/>
        <v>-0.126330964189569</v>
      </c>
      <c r="J11" s="1" t="s">
        <v>36</v>
      </c>
      <c r="K11" s="1">
        <v>163.343</v>
      </c>
      <c r="L11">
        <f t="shared" si="3"/>
        <v>0.0042915552276429</v>
      </c>
      <c r="M11" s="1" t="s">
        <v>36</v>
      </c>
      <c r="N11" s="1">
        <v>149.64</v>
      </c>
      <c r="O11">
        <f t="shared" si="4"/>
        <v>0.00489554163225004</v>
      </c>
      <c r="P11">
        <f t="shared" si="5"/>
        <v>-0.0599128759083759</v>
      </c>
      <c r="Q11">
        <f t="shared" si="6"/>
        <v>0.940087124091624</v>
      </c>
      <c r="S11">
        <f t="shared" si="7"/>
        <v>0.924014874311817</v>
      </c>
    </row>
    <row r="12" spans="1:19">
      <c r="A12" s="1" t="s">
        <v>37</v>
      </c>
      <c r="B12" s="1">
        <v>3816.699</v>
      </c>
      <c r="C12">
        <f t="shared" si="0"/>
        <v>-0.146724635244639</v>
      </c>
      <c r="D12" s="1" t="s">
        <v>37</v>
      </c>
      <c r="E12" s="1">
        <v>7727.061</v>
      </c>
      <c r="F12">
        <f t="shared" si="1"/>
        <v>-0.132377762457304</v>
      </c>
      <c r="G12" s="1" t="s">
        <v>37</v>
      </c>
      <c r="H12" s="1">
        <v>9223.636</v>
      </c>
      <c r="I12">
        <f t="shared" si="2"/>
        <v>-0.189591854127806</v>
      </c>
      <c r="J12" s="1" t="s">
        <v>37</v>
      </c>
      <c r="K12" s="1">
        <v>165.33</v>
      </c>
      <c r="L12">
        <f t="shared" si="3"/>
        <v>0.0121645861775529</v>
      </c>
      <c r="M12" s="1" t="s">
        <v>37</v>
      </c>
      <c r="N12" s="1">
        <v>150.295</v>
      </c>
      <c r="O12">
        <f t="shared" si="4"/>
        <v>0.0043771718791767</v>
      </c>
      <c r="P12">
        <f t="shared" si="5"/>
        <v>-0.0904304987546039</v>
      </c>
      <c r="Q12">
        <f t="shared" si="6"/>
        <v>0.909569501245396</v>
      </c>
      <c r="S12">
        <f t="shared" si="7"/>
        <v>0.853275364755361</v>
      </c>
    </row>
    <row r="13" spans="1:19">
      <c r="A13" s="1" t="s">
        <v>38</v>
      </c>
      <c r="B13" s="1">
        <v>3366.536</v>
      </c>
      <c r="C13">
        <f t="shared" si="0"/>
        <v>-0.117945638364461</v>
      </c>
      <c r="D13" s="1" t="s">
        <v>38</v>
      </c>
      <c r="E13" s="1">
        <v>6581.313</v>
      </c>
      <c r="F13">
        <f t="shared" si="1"/>
        <v>-0.14827733338717</v>
      </c>
      <c r="G13" s="1" t="s">
        <v>38</v>
      </c>
      <c r="H13" s="1">
        <v>7950.459</v>
      </c>
      <c r="I13">
        <f t="shared" si="2"/>
        <v>-0.138034176543827</v>
      </c>
      <c r="J13" s="1" t="s">
        <v>38</v>
      </c>
      <c r="K13" s="1">
        <v>166.47</v>
      </c>
      <c r="L13">
        <f t="shared" si="3"/>
        <v>0.00689530030847388</v>
      </c>
      <c r="M13" s="1" t="s">
        <v>38</v>
      </c>
      <c r="N13" s="1">
        <v>150.911</v>
      </c>
      <c r="O13">
        <f t="shared" si="4"/>
        <v>0.00409860607471981</v>
      </c>
      <c r="P13">
        <f t="shared" si="5"/>
        <v>-0.0786526483824529</v>
      </c>
      <c r="Q13">
        <f t="shared" si="6"/>
        <v>0.921347351617547</v>
      </c>
      <c r="S13">
        <f t="shared" si="7"/>
        <v>0.882054361635539</v>
      </c>
    </row>
    <row r="14" spans="1:19">
      <c r="A14" s="1" t="s">
        <v>39</v>
      </c>
      <c r="B14" s="1">
        <v>3202.948</v>
      </c>
      <c r="C14">
        <f t="shared" si="0"/>
        <v>-0.0485923810112235</v>
      </c>
      <c r="D14" s="1" t="s">
        <v>39</v>
      </c>
      <c r="E14" s="1">
        <v>6123.727</v>
      </c>
      <c r="F14">
        <f t="shared" si="1"/>
        <v>-0.0695280713742076</v>
      </c>
      <c r="G14" s="1" t="s">
        <v>39</v>
      </c>
      <c r="H14" s="1">
        <v>7727.509</v>
      </c>
      <c r="I14">
        <f t="shared" si="2"/>
        <v>-0.0280424061051066</v>
      </c>
      <c r="J14" s="1" t="s">
        <v>39</v>
      </c>
      <c r="K14" s="1">
        <v>167.535</v>
      </c>
      <c r="L14">
        <f t="shared" si="3"/>
        <v>0.00639754910794736</v>
      </c>
      <c r="M14" s="1" t="s">
        <v>39</v>
      </c>
      <c r="N14" s="1">
        <v>151.623</v>
      </c>
      <c r="O14">
        <f t="shared" si="4"/>
        <v>0.00471801260345494</v>
      </c>
      <c r="P14">
        <f t="shared" si="5"/>
        <v>-0.0270094593558271</v>
      </c>
      <c r="Q14">
        <f t="shared" si="6"/>
        <v>0.972990540644173</v>
      </c>
      <c r="S14">
        <f t="shared" si="7"/>
        <v>0.951407618988777</v>
      </c>
    </row>
    <row r="15" spans="1:19">
      <c r="A15" s="1" t="s">
        <v>40</v>
      </c>
      <c r="B15" s="1">
        <v>3534.079</v>
      </c>
      <c r="C15">
        <f t="shared" si="0"/>
        <v>0.103383195730933</v>
      </c>
      <c r="D15" s="1" t="s">
        <v>40</v>
      </c>
      <c r="E15" s="1">
        <v>7084.971</v>
      </c>
      <c r="F15">
        <f t="shared" si="1"/>
        <v>0.156970420137932</v>
      </c>
      <c r="G15" s="1" t="s">
        <v>40</v>
      </c>
      <c r="H15" s="1">
        <v>9188.266</v>
      </c>
      <c r="I15">
        <f t="shared" si="2"/>
        <v>0.189033361203462</v>
      </c>
      <c r="J15" s="1" t="s">
        <v>40</v>
      </c>
      <c r="K15" s="1">
        <v>169.464</v>
      </c>
      <c r="L15">
        <f t="shared" si="3"/>
        <v>0.0115140119974931</v>
      </c>
      <c r="M15" s="1" t="s">
        <v>40</v>
      </c>
      <c r="N15" s="1">
        <v>152.787</v>
      </c>
      <c r="O15">
        <f t="shared" si="4"/>
        <v>0.00767693555727044</v>
      </c>
      <c r="P15">
        <f t="shared" si="5"/>
        <v>0.0937155849254181</v>
      </c>
      <c r="Q15">
        <f t="shared" si="6"/>
        <v>1.09371558492542</v>
      </c>
      <c r="S15">
        <f t="shared" si="7"/>
        <v>1.10338319573093</v>
      </c>
    </row>
    <row r="16" spans="1:19">
      <c r="A16" s="1" t="s">
        <v>41</v>
      </c>
      <c r="B16" s="1">
        <v>3566.412</v>
      </c>
      <c r="C16">
        <f t="shared" si="0"/>
        <v>0.00914891828960236</v>
      </c>
      <c r="D16" s="1" t="s">
        <v>41</v>
      </c>
      <c r="E16" s="1">
        <v>7408.399</v>
      </c>
      <c r="F16">
        <f t="shared" si="1"/>
        <v>0.0456498692796344</v>
      </c>
      <c r="G16" s="1" t="s">
        <v>41</v>
      </c>
      <c r="H16" s="1">
        <v>10001.19</v>
      </c>
      <c r="I16">
        <f t="shared" si="2"/>
        <v>0.0884741473527215</v>
      </c>
      <c r="J16" s="1" t="s">
        <v>41</v>
      </c>
      <c r="K16" s="1">
        <v>169.446</v>
      </c>
      <c r="L16">
        <f t="shared" si="3"/>
        <v>-0.000106217249681352</v>
      </c>
      <c r="M16" s="1" t="s">
        <v>41</v>
      </c>
      <c r="N16" s="1">
        <v>153.091</v>
      </c>
      <c r="O16">
        <f t="shared" si="4"/>
        <v>0.00198969807640704</v>
      </c>
      <c r="P16">
        <f t="shared" si="5"/>
        <v>0.0290312831497368</v>
      </c>
      <c r="Q16">
        <f t="shared" si="6"/>
        <v>1.02903128314974</v>
      </c>
      <c r="S16">
        <f t="shared" si="7"/>
        <v>1.0091489182896</v>
      </c>
    </row>
    <row r="17" spans="1:19">
      <c r="A17" s="1" t="s">
        <v>42</v>
      </c>
      <c r="B17" s="1">
        <v>3731.005</v>
      </c>
      <c r="C17">
        <f t="shared" si="0"/>
        <v>0.0461508653515074</v>
      </c>
      <c r="D17" s="1" t="s">
        <v>42</v>
      </c>
      <c r="E17" s="1">
        <v>7617.689</v>
      </c>
      <c r="F17">
        <f t="shared" si="1"/>
        <v>0.0282503682644523</v>
      </c>
      <c r="G17" s="1" t="s">
        <v>42</v>
      </c>
      <c r="H17" s="1">
        <v>10614.38</v>
      </c>
      <c r="I17">
        <f t="shared" si="2"/>
        <v>0.0613117039072349</v>
      </c>
      <c r="J17" s="1" t="s">
        <v>42</v>
      </c>
      <c r="K17" s="1">
        <v>172.149</v>
      </c>
      <c r="L17">
        <f t="shared" si="3"/>
        <v>0.0159519847030913</v>
      </c>
      <c r="M17" s="1" t="s">
        <v>42</v>
      </c>
      <c r="N17" s="1">
        <v>154.544</v>
      </c>
      <c r="O17">
        <f t="shared" si="4"/>
        <v>0.00949108700054218</v>
      </c>
      <c r="P17">
        <f t="shared" si="5"/>
        <v>0.0322312018453656</v>
      </c>
      <c r="Q17">
        <f t="shared" si="6"/>
        <v>1.03223120184537</v>
      </c>
      <c r="S17">
        <f t="shared" si="7"/>
        <v>1.04615086535151</v>
      </c>
    </row>
    <row r="18" spans="1:19">
      <c r="A18" s="1" t="s">
        <v>43</v>
      </c>
      <c r="B18" s="1">
        <v>2946.09</v>
      </c>
      <c r="C18">
        <f t="shared" si="0"/>
        <v>-0.210376292714697</v>
      </c>
      <c r="D18" s="1" t="s">
        <v>43</v>
      </c>
      <c r="E18" s="1">
        <v>5469.125</v>
      </c>
      <c r="F18">
        <f t="shared" si="1"/>
        <v>-0.282049319682124</v>
      </c>
      <c r="G18" s="1" t="s">
        <v>43</v>
      </c>
      <c r="H18" s="1">
        <v>7385.759</v>
      </c>
      <c r="I18">
        <f t="shared" si="2"/>
        <v>-0.304174242866752</v>
      </c>
      <c r="J18" s="1" t="s">
        <v>43</v>
      </c>
      <c r="K18" s="1">
        <v>172.533</v>
      </c>
      <c r="L18">
        <f t="shared" si="3"/>
        <v>0.00223062579509603</v>
      </c>
      <c r="M18" s="1" t="s">
        <v>43</v>
      </c>
      <c r="N18" s="1">
        <v>155.201</v>
      </c>
      <c r="O18">
        <f t="shared" si="4"/>
        <v>0.00425121648203736</v>
      </c>
      <c r="P18">
        <f t="shared" si="5"/>
        <v>-0.158023602597288</v>
      </c>
      <c r="Q18">
        <f t="shared" si="6"/>
        <v>0.841976397402712</v>
      </c>
      <c r="S18">
        <f t="shared" si="7"/>
        <v>0.789623707285303</v>
      </c>
    </row>
    <row r="19" spans="1:19">
      <c r="A19" s="1" t="s">
        <v>44</v>
      </c>
      <c r="B19" s="1">
        <v>2877.467</v>
      </c>
      <c r="C19">
        <f t="shared" si="0"/>
        <v>-0.0232929068697834</v>
      </c>
      <c r="D19" s="1" t="s">
        <v>44</v>
      </c>
      <c r="E19" s="1">
        <v>5350.434</v>
      </c>
      <c r="F19">
        <f t="shared" si="1"/>
        <v>-0.0217020090050968</v>
      </c>
      <c r="G19" s="1" t="s">
        <v>44</v>
      </c>
      <c r="H19" s="1">
        <v>7183.676</v>
      </c>
      <c r="I19">
        <f t="shared" si="2"/>
        <v>-0.0273611689739673</v>
      </c>
      <c r="J19" s="1" t="s">
        <v>44</v>
      </c>
      <c r="K19" s="1">
        <v>173.112</v>
      </c>
      <c r="L19">
        <f t="shared" si="3"/>
        <v>0.00335587974474453</v>
      </c>
      <c r="M19" s="1" t="s">
        <v>44</v>
      </c>
      <c r="N19" s="1">
        <v>155.721</v>
      </c>
      <c r="O19">
        <f t="shared" si="4"/>
        <v>0.00335049387568386</v>
      </c>
      <c r="P19">
        <f t="shared" si="5"/>
        <v>-0.0131299422456838</v>
      </c>
      <c r="Q19">
        <f t="shared" si="6"/>
        <v>0.986870057754316</v>
      </c>
      <c r="S19">
        <f t="shared" si="7"/>
        <v>0.976707093130217</v>
      </c>
    </row>
    <row r="20" spans="1:19">
      <c r="A20" s="1" t="s">
        <v>45</v>
      </c>
      <c r="B20" s="1">
        <v>3218.088</v>
      </c>
      <c r="C20">
        <f t="shared" si="0"/>
        <v>0.118375293270088</v>
      </c>
      <c r="D20" s="1" t="s">
        <v>45</v>
      </c>
      <c r="E20" s="1">
        <v>6155.814</v>
      </c>
      <c r="F20">
        <f t="shared" si="1"/>
        <v>0.150526106854136</v>
      </c>
      <c r="G20" s="1" t="s">
        <v>45</v>
      </c>
      <c r="H20" s="1">
        <v>8447.179</v>
      </c>
      <c r="I20">
        <f t="shared" si="2"/>
        <v>0.175885298835861</v>
      </c>
      <c r="J20" s="1" t="s">
        <v>45</v>
      </c>
      <c r="K20" s="1">
        <v>174.312</v>
      </c>
      <c r="L20">
        <f t="shared" si="3"/>
        <v>0.00693192846249837</v>
      </c>
      <c r="M20" s="1" t="s">
        <v>45</v>
      </c>
      <c r="N20" s="1">
        <v>156.625</v>
      </c>
      <c r="O20">
        <f t="shared" si="4"/>
        <v>0.0058052542688526</v>
      </c>
      <c r="P20">
        <f t="shared" si="5"/>
        <v>0.091504776338287</v>
      </c>
      <c r="Q20">
        <f t="shared" si="6"/>
        <v>1.09150477633829</v>
      </c>
      <c r="S20">
        <f t="shared" si="7"/>
        <v>1.11837529327009</v>
      </c>
    </row>
    <row r="21" spans="1:19">
      <c r="A21" s="1" t="s">
        <v>46</v>
      </c>
      <c r="B21" s="1">
        <v>3156.745</v>
      </c>
      <c r="C21">
        <f t="shared" si="0"/>
        <v>-0.0190619398848013</v>
      </c>
      <c r="D21" s="1" t="s">
        <v>46</v>
      </c>
      <c r="E21" s="1">
        <v>5985.594</v>
      </c>
      <c r="F21">
        <f t="shared" si="1"/>
        <v>-0.0276519076112437</v>
      </c>
      <c r="G21" s="1" t="s">
        <v>46</v>
      </c>
      <c r="H21" s="1">
        <v>8291.699</v>
      </c>
      <c r="I21">
        <f t="shared" si="2"/>
        <v>-0.0184061448206555</v>
      </c>
      <c r="J21" s="1" t="s">
        <v>46</v>
      </c>
      <c r="K21" s="1">
        <v>173.015</v>
      </c>
      <c r="L21">
        <f t="shared" si="3"/>
        <v>-0.00744068107760811</v>
      </c>
      <c r="M21" s="1" t="s">
        <v>46</v>
      </c>
      <c r="N21" s="1">
        <v>156.684</v>
      </c>
      <c r="O21">
        <f t="shared" si="4"/>
        <v>0.000376695929768539</v>
      </c>
      <c r="P21">
        <f t="shared" si="5"/>
        <v>-0.014436795492908</v>
      </c>
      <c r="Q21">
        <f t="shared" si="6"/>
        <v>0.985563204507092</v>
      </c>
      <c r="S21">
        <f t="shared" si="7"/>
        <v>0.980938060115199</v>
      </c>
    </row>
    <row r="22" spans="1:19">
      <c r="A22" s="1" t="s">
        <v>47</v>
      </c>
      <c r="B22" s="1">
        <v>3169.559</v>
      </c>
      <c r="C22">
        <f t="shared" si="0"/>
        <v>0.00405924456996061</v>
      </c>
      <c r="D22" s="1" t="s">
        <v>47</v>
      </c>
      <c r="E22" s="1">
        <v>5947.322</v>
      </c>
      <c r="F22">
        <f t="shared" si="1"/>
        <v>-0.00639401870557875</v>
      </c>
      <c r="G22" s="1" t="s">
        <v>47</v>
      </c>
      <c r="H22" s="1">
        <v>8197.557</v>
      </c>
      <c r="I22">
        <f t="shared" si="2"/>
        <v>-0.0113537647712489</v>
      </c>
      <c r="J22" s="1" t="s">
        <v>47</v>
      </c>
      <c r="K22" s="1">
        <v>173.698</v>
      </c>
      <c r="L22">
        <f t="shared" si="3"/>
        <v>0.00394763459815635</v>
      </c>
      <c r="M22" s="1" t="s">
        <v>47</v>
      </c>
      <c r="N22" s="1">
        <v>157.183</v>
      </c>
      <c r="O22">
        <f t="shared" si="4"/>
        <v>0.00318475402721398</v>
      </c>
      <c r="P22">
        <f t="shared" si="5"/>
        <v>-0.00131123005629934</v>
      </c>
      <c r="Q22">
        <f t="shared" si="6"/>
        <v>0.998688769943701</v>
      </c>
      <c r="S22">
        <f t="shared" si="7"/>
        <v>1.00405924456996</v>
      </c>
    </row>
    <row r="23" spans="1:19">
      <c r="A23" s="1" t="s">
        <v>48</v>
      </c>
      <c r="B23" s="1">
        <v>3153.921</v>
      </c>
      <c r="C23">
        <f t="shared" si="0"/>
        <v>-0.00493380940376891</v>
      </c>
      <c r="D23" s="1" t="s">
        <v>48</v>
      </c>
      <c r="E23" s="1">
        <v>6123.494</v>
      </c>
      <c r="F23">
        <f t="shared" si="1"/>
        <v>0.0296220719174108</v>
      </c>
      <c r="G23" s="1" t="s">
        <v>48</v>
      </c>
      <c r="H23" s="1">
        <v>8741.099</v>
      </c>
      <c r="I23">
        <f t="shared" si="2"/>
        <v>0.0663053639029286</v>
      </c>
      <c r="J23" s="1" t="s">
        <v>48</v>
      </c>
      <c r="K23" s="1">
        <v>174.946</v>
      </c>
      <c r="L23">
        <f t="shared" si="3"/>
        <v>0.00718488410920097</v>
      </c>
      <c r="M23" s="1" t="s">
        <v>48</v>
      </c>
      <c r="N23" s="1">
        <v>157.67</v>
      </c>
      <c r="O23">
        <f t="shared" si="4"/>
        <v>0.00309829943441717</v>
      </c>
      <c r="P23">
        <f t="shared" si="5"/>
        <v>0.0202553619920377</v>
      </c>
      <c r="Q23">
        <f t="shared" si="6"/>
        <v>1.02025536199204</v>
      </c>
      <c r="S23">
        <f t="shared" si="7"/>
        <v>0.995066190596231</v>
      </c>
    </row>
    <row r="24" spans="1:19">
      <c r="A24" s="1" t="s">
        <v>49</v>
      </c>
      <c r="B24" s="1">
        <v>3203.93</v>
      </c>
      <c r="C24">
        <f t="shared" si="0"/>
        <v>0.0158561359019456</v>
      </c>
      <c r="D24" s="1" t="s">
        <v>49</v>
      </c>
      <c r="E24" s="1">
        <v>6202.892</v>
      </c>
      <c r="F24">
        <f t="shared" si="1"/>
        <v>0.0129661268550276</v>
      </c>
      <c r="G24" s="1" t="s">
        <v>49</v>
      </c>
      <c r="H24" s="1">
        <v>8501.09</v>
      </c>
      <c r="I24">
        <f t="shared" si="2"/>
        <v>-0.0274575313699113</v>
      </c>
      <c r="J24" s="1" t="s">
        <v>49</v>
      </c>
      <c r="K24" s="1">
        <v>176.656</v>
      </c>
      <c r="L24">
        <f t="shared" si="3"/>
        <v>0.0097744446857888</v>
      </c>
      <c r="M24" s="1" t="s">
        <v>49</v>
      </c>
      <c r="N24" s="1">
        <v>158.444</v>
      </c>
      <c r="O24">
        <f t="shared" si="4"/>
        <v>0.00490898712500793</v>
      </c>
      <c r="P24">
        <f t="shared" si="5"/>
        <v>0.00320963263957172</v>
      </c>
      <c r="Q24">
        <f t="shared" si="6"/>
        <v>1.00320963263957</v>
      </c>
      <c r="S24">
        <f t="shared" si="7"/>
        <v>1.01585613590195</v>
      </c>
    </row>
    <row r="25" spans="1:19">
      <c r="A25" s="1" t="s">
        <v>50</v>
      </c>
      <c r="B25" s="1">
        <v>3327.794</v>
      </c>
      <c r="C25">
        <f t="shared" si="0"/>
        <v>0.0386600206621243</v>
      </c>
      <c r="D25" s="1" t="s">
        <v>50</v>
      </c>
      <c r="E25" s="1">
        <v>6434.21</v>
      </c>
      <c r="F25">
        <f t="shared" si="1"/>
        <v>0.0372919599438456</v>
      </c>
      <c r="G25" s="1" t="s">
        <v>50</v>
      </c>
      <c r="H25" s="1">
        <v>8838.38</v>
      </c>
      <c r="I25">
        <f t="shared" si="2"/>
        <v>0.0396760885956976</v>
      </c>
      <c r="J25" s="1" t="s">
        <v>50</v>
      </c>
      <c r="K25" s="1">
        <v>177.845</v>
      </c>
      <c r="L25">
        <f t="shared" si="3"/>
        <v>0.00673059505479572</v>
      </c>
      <c r="M25" s="1" t="s">
        <v>50</v>
      </c>
      <c r="N25" s="1">
        <v>159.219</v>
      </c>
      <c r="O25">
        <f t="shared" si="4"/>
        <v>0.00489131806821341</v>
      </c>
      <c r="P25">
        <f t="shared" si="5"/>
        <v>0.0254499964649353</v>
      </c>
      <c r="Q25">
        <f t="shared" si="6"/>
        <v>1.02544999646494</v>
      </c>
      <c r="S25">
        <f t="shared" si="7"/>
        <v>1.03866002066212</v>
      </c>
    </row>
    <row r="26" spans="1:19">
      <c r="A26" s="1" t="s">
        <v>51</v>
      </c>
      <c r="B26" s="1">
        <v>3253.285</v>
      </c>
      <c r="C26">
        <f t="shared" si="0"/>
        <v>-0.0223899075483639</v>
      </c>
      <c r="D26" s="1" t="s">
        <v>51</v>
      </c>
      <c r="E26" s="1">
        <v>6328.086</v>
      </c>
      <c r="F26">
        <f t="shared" si="1"/>
        <v>-0.0164937109606307</v>
      </c>
      <c r="G26" s="1" t="s">
        <v>51</v>
      </c>
      <c r="H26" s="1">
        <v>8661.019</v>
      </c>
      <c r="I26">
        <f t="shared" si="2"/>
        <v>-0.020067139000586</v>
      </c>
      <c r="J26" s="1" t="s">
        <v>51</v>
      </c>
      <c r="K26" s="1">
        <v>178.793</v>
      </c>
      <c r="L26">
        <f t="shared" si="3"/>
        <v>0.00533048441058229</v>
      </c>
      <c r="M26" s="1" t="s">
        <v>51</v>
      </c>
      <c r="N26" s="1">
        <v>159.728</v>
      </c>
      <c r="O26">
        <f t="shared" si="4"/>
        <v>0.00319685464674451</v>
      </c>
      <c r="P26">
        <f t="shared" si="5"/>
        <v>-0.0100846836904508</v>
      </c>
      <c r="Q26">
        <f t="shared" si="6"/>
        <v>0.989915316309549</v>
      </c>
      <c r="S26">
        <f t="shared" si="7"/>
        <v>0.977610092451636</v>
      </c>
    </row>
    <row r="27" spans="1:19">
      <c r="A27" s="1" t="s">
        <v>52</v>
      </c>
      <c r="B27" s="1">
        <v>3336.278</v>
      </c>
      <c r="C27">
        <f t="shared" si="0"/>
        <v>0.0255105224411633</v>
      </c>
      <c r="D27" s="1" t="s">
        <v>52</v>
      </c>
      <c r="E27" s="1">
        <v>6452.206</v>
      </c>
      <c r="F27">
        <f t="shared" si="1"/>
        <v>0.0196141455726107</v>
      </c>
      <c r="G27" s="1" t="s">
        <v>52</v>
      </c>
      <c r="H27" s="1">
        <v>8910.508</v>
      </c>
      <c r="I27">
        <f t="shared" si="2"/>
        <v>0.0288059638248109</v>
      </c>
      <c r="J27" s="1" t="s">
        <v>52</v>
      </c>
      <c r="K27" s="1">
        <v>179.732</v>
      </c>
      <c r="L27">
        <f t="shared" si="3"/>
        <v>0.00525188346299907</v>
      </c>
      <c r="M27" s="1" t="s">
        <v>52</v>
      </c>
      <c r="N27" s="1">
        <v>160.722</v>
      </c>
      <c r="O27">
        <f t="shared" si="4"/>
        <v>0.00622307923469899</v>
      </c>
      <c r="P27">
        <f t="shared" si="5"/>
        <v>0.0170811189072566</v>
      </c>
      <c r="Q27">
        <f t="shared" si="6"/>
        <v>1.01708111890726</v>
      </c>
      <c r="S27">
        <f t="shared" si="7"/>
        <v>1.02551052244116</v>
      </c>
    </row>
    <row r="28" spans="1:19">
      <c r="A28" s="1" t="s">
        <v>53</v>
      </c>
      <c r="B28" s="1">
        <v>3538.001</v>
      </c>
      <c r="C28">
        <f t="shared" ref="C28:C59" si="8">(B28-B27)/B27</f>
        <v>0.0604634865559766</v>
      </c>
      <c r="D28" s="1" t="s">
        <v>53</v>
      </c>
      <c r="E28" s="1">
        <v>6585.578</v>
      </c>
      <c r="F28">
        <f t="shared" ref="F28:F59" si="9">(E28-E27)/E27</f>
        <v>0.0206707597370574</v>
      </c>
      <c r="G28" s="1" t="s">
        <v>53</v>
      </c>
      <c r="H28" s="1">
        <v>9014.913</v>
      </c>
      <c r="I28">
        <f t="shared" ref="I28:I59" si="10">(H28-H27)/H27</f>
        <v>0.0117170648407476</v>
      </c>
      <c r="J28" s="1" t="s">
        <v>53</v>
      </c>
      <c r="K28" s="1">
        <v>178.291</v>
      </c>
      <c r="L28">
        <f t="shared" ref="L28:L59" si="11">(K28-K27)/K27</f>
        <v>-0.00801749271137028</v>
      </c>
      <c r="M28" s="1" t="s">
        <v>53</v>
      </c>
      <c r="N28" s="1">
        <v>160.362</v>
      </c>
      <c r="O28">
        <f t="shared" ref="O28:O59" si="12">(N28-N27)/N27</f>
        <v>-0.0022398924851608</v>
      </c>
      <c r="P28">
        <f t="shared" si="5"/>
        <v>0.0165187851874501</v>
      </c>
      <c r="Q28">
        <f t="shared" si="6"/>
        <v>1.01651878518745</v>
      </c>
      <c r="S28">
        <f t="shared" si="7"/>
        <v>1.06046348655598</v>
      </c>
    </row>
    <row r="29" spans="1:19">
      <c r="A29" s="1" t="s">
        <v>54</v>
      </c>
      <c r="B29" s="1">
        <v>3310.081</v>
      </c>
      <c r="C29">
        <f t="shared" si="8"/>
        <v>-0.0644205583887625</v>
      </c>
      <c r="D29" s="1" t="s">
        <v>54</v>
      </c>
      <c r="E29" s="1">
        <v>6263.626</v>
      </c>
      <c r="F29">
        <f t="shared" si="9"/>
        <v>-0.0488874325078224</v>
      </c>
      <c r="G29" s="1" t="s">
        <v>54</v>
      </c>
      <c r="H29" s="1">
        <v>8490.861</v>
      </c>
      <c r="I29">
        <f t="shared" si="10"/>
        <v>-0.0581316758131775</v>
      </c>
      <c r="J29" s="1" t="s">
        <v>54</v>
      </c>
      <c r="K29" s="1">
        <v>175.595</v>
      </c>
      <c r="L29">
        <f t="shared" si="11"/>
        <v>-0.015121346562642</v>
      </c>
      <c r="M29" s="1" t="s">
        <v>54</v>
      </c>
      <c r="N29" s="1">
        <v>159.785</v>
      </c>
      <c r="O29">
        <f t="shared" si="12"/>
        <v>-0.00359810927775906</v>
      </c>
      <c r="P29">
        <f t="shared" si="5"/>
        <v>-0.0380318245100327</v>
      </c>
      <c r="Q29">
        <f t="shared" si="6"/>
        <v>0.961968175489967</v>
      </c>
      <c r="S29">
        <f t="shared" si="7"/>
        <v>0.935579441611238</v>
      </c>
    </row>
    <row r="30" spans="1:19">
      <c r="A30" s="1" t="s">
        <v>55</v>
      </c>
      <c r="B30" s="1">
        <v>3387.961</v>
      </c>
      <c r="C30">
        <f t="shared" si="8"/>
        <v>0.0235281251425568</v>
      </c>
      <c r="D30" s="1" t="s">
        <v>55</v>
      </c>
      <c r="E30" s="1">
        <v>6223.706</v>
      </c>
      <c r="F30">
        <f t="shared" si="9"/>
        <v>-0.00637330517498971</v>
      </c>
      <c r="G30" s="1" t="s">
        <v>55</v>
      </c>
      <c r="H30" s="1">
        <v>8205.871</v>
      </c>
      <c r="I30">
        <f t="shared" si="10"/>
        <v>-0.0335643228643128</v>
      </c>
      <c r="J30" s="1" t="s">
        <v>55</v>
      </c>
      <c r="K30" s="1">
        <v>175.204</v>
      </c>
      <c r="L30">
        <f t="shared" si="11"/>
        <v>-0.00222671488368115</v>
      </c>
      <c r="M30" s="1" t="s">
        <v>55</v>
      </c>
      <c r="N30" s="1">
        <v>159.706</v>
      </c>
      <c r="O30">
        <f t="shared" si="12"/>
        <v>-0.000494414369308807</v>
      </c>
      <c r="P30">
        <f t="shared" si="5"/>
        <v>-0.00382612642994712</v>
      </c>
      <c r="Q30">
        <f t="shared" si="6"/>
        <v>0.996173873570053</v>
      </c>
      <c r="S30">
        <f t="shared" si="7"/>
        <v>1.02352812514256</v>
      </c>
    </row>
    <row r="31" spans="1:19">
      <c r="A31" s="1" t="s">
        <v>56</v>
      </c>
      <c r="B31" s="1">
        <v>3452.81</v>
      </c>
      <c r="C31">
        <f t="shared" si="8"/>
        <v>0.0191410113634721</v>
      </c>
      <c r="D31" s="1" t="s">
        <v>56</v>
      </c>
      <c r="E31" s="1">
        <v>6450.97</v>
      </c>
      <c r="F31">
        <f t="shared" si="9"/>
        <v>0.0365158636992172</v>
      </c>
      <c r="G31" s="1" t="s">
        <v>56</v>
      </c>
      <c r="H31" s="1">
        <v>8508.086</v>
      </c>
      <c r="I31">
        <f t="shared" si="10"/>
        <v>0.0368291190539067</v>
      </c>
      <c r="J31" s="1" t="s">
        <v>56</v>
      </c>
      <c r="K31" s="1">
        <v>174.896</v>
      </c>
      <c r="L31">
        <f t="shared" si="11"/>
        <v>-0.00175795073171857</v>
      </c>
      <c r="M31" s="1" t="s">
        <v>56</v>
      </c>
      <c r="N31" s="1">
        <v>160.022</v>
      </c>
      <c r="O31">
        <f t="shared" si="12"/>
        <v>0.00197863574317811</v>
      </c>
      <c r="P31">
        <f t="shared" si="5"/>
        <v>0.0185413358256111</v>
      </c>
      <c r="Q31">
        <f t="shared" si="6"/>
        <v>1.01854133582561</v>
      </c>
      <c r="S31">
        <f t="shared" si="7"/>
        <v>1.01914101136347</v>
      </c>
    </row>
    <row r="32" spans="1:19">
      <c r="A32" s="1" t="s">
        <v>57</v>
      </c>
      <c r="B32" s="1">
        <v>3456.046</v>
      </c>
      <c r="C32">
        <f t="shared" si="8"/>
        <v>0.000937207665640414</v>
      </c>
      <c r="D32" s="1" t="s">
        <v>57</v>
      </c>
      <c r="E32" s="1">
        <v>6401.648</v>
      </c>
      <c r="F32">
        <f t="shared" si="9"/>
        <v>-0.00764567189120398</v>
      </c>
      <c r="G32" s="1" t="s">
        <v>57</v>
      </c>
      <c r="H32" s="1">
        <v>8339.146</v>
      </c>
      <c r="I32">
        <f t="shared" si="10"/>
        <v>-0.0198564048365283</v>
      </c>
      <c r="J32" s="1" t="s">
        <v>57</v>
      </c>
      <c r="K32" s="1">
        <v>175.015</v>
      </c>
      <c r="L32">
        <f t="shared" si="11"/>
        <v>0.000680404354587868</v>
      </c>
      <c r="M32" s="1" t="s">
        <v>57</v>
      </c>
      <c r="N32" s="1">
        <v>160.18</v>
      </c>
      <c r="O32">
        <f t="shared" si="12"/>
        <v>0.000987364237417452</v>
      </c>
      <c r="P32">
        <f t="shared" si="5"/>
        <v>-0.00497942009401731</v>
      </c>
      <c r="Q32">
        <f t="shared" si="6"/>
        <v>0.995020579905983</v>
      </c>
      <c r="S32">
        <f t="shared" si="7"/>
        <v>1.00093720766564</v>
      </c>
    </row>
    <row r="33" spans="1:19">
      <c r="A33" s="1" t="s">
        <v>58</v>
      </c>
      <c r="B33" s="1">
        <v>3439.753</v>
      </c>
      <c r="C33">
        <f t="shared" si="8"/>
        <v>-0.00471434697339088</v>
      </c>
      <c r="D33" s="1" t="s">
        <v>58</v>
      </c>
      <c r="E33" s="1">
        <v>6211.862</v>
      </c>
      <c r="F33">
        <f t="shared" si="9"/>
        <v>-0.0296464285446498</v>
      </c>
      <c r="G33" s="1" t="s">
        <v>58</v>
      </c>
      <c r="H33" s="1">
        <v>7842.082</v>
      </c>
      <c r="I33">
        <f t="shared" si="10"/>
        <v>-0.0596061035506514</v>
      </c>
      <c r="J33" s="1" t="s">
        <v>58</v>
      </c>
      <c r="K33" s="1">
        <v>174.304</v>
      </c>
      <c r="L33">
        <f t="shared" si="11"/>
        <v>-0.0040625089278061</v>
      </c>
      <c r="M33" s="1" t="s">
        <v>58</v>
      </c>
      <c r="N33" s="1">
        <v>160.614</v>
      </c>
      <c r="O33">
        <f t="shared" si="12"/>
        <v>0.00270945186665</v>
      </c>
      <c r="P33">
        <f t="shared" si="5"/>
        <v>-0.0190639872259696</v>
      </c>
      <c r="Q33">
        <f t="shared" si="6"/>
        <v>0.98093601277403</v>
      </c>
      <c r="S33">
        <f t="shared" si="7"/>
        <v>0.995285653026609</v>
      </c>
    </row>
    <row r="34" spans="1:19">
      <c r="A34" s="1" t="s">
        <v>59</v>
      </c>
      <c r="B34" s="1">
        <v>3492.885</v>
      </c>
      <c r="C34">
        <f t="shared" si="8"/>
        <v>0.0154464579288106</v>
      </c>
      <c r="D34" s="1" t="s">
        <v>59</v>
      </c>
      <c r="E34" s="1">
        <v>5824.104</v>
      </c>
      <c r="F34">
        <f t="shared" si="9"/>
        <v>-0.0624221851676679</v>
      </c>
      <c r="G34" s="1" t="s">
        <v>59</v>
      </c>
      <c r="H34" s="1">
        <v>7212.696</v>
      </c>
      <c r="I34">
        <f t="shared" si="10"/>
        <v>-0.0802575132471199</v>
      </c>
      <c r="J34" s="1" t="s">
        <v>59</v>
      </c>
      <c r="K34" s="1">
        <v>173.162</v>
      </c>
      <c r="L34">
        <f t="shared" si="11"/>
        <v>-0.00655177161740405</v>
      </c>
      <c r="M34" s="1" t="s">
        <v>59</v>
      </c>
      <c r="N34" s="1">
        <v>160.154</v>
      </c>
      <c r="O34">
        <f t="shared" si="12"/>
        <v>-0.00286400936406545</v>
      </c>
      <c r="P34">
        <f t="shared" si="5"/>
        <v>-0.0273298042934893</v>
      </c>
      <c r="Q34">
        <f t="shared" si="6"/>
        <v>0.972670195706511</v>
      </c>
      <c r="S34">
        <f t="shared" si="7"/>
        <v>1.01544645792881</v>
      </c>
    </row>
    <row r="35" spans="1:19">
      <c r="A35" s="1" t="s">
        <v>60</v>
      </c>
      <c r="B35" s="1">
        <v>3666.798</v>
      </c>
      <c r="C35">
        <f t="shared" si="8"/>
        <v>0.0497906458414748</v>
      </c>
      <c r="D35" s="1" t="s">
        <v>60</v>
      </c>
      <c r="E35" s="1">
        <v>6138.156</v>
      </c>
      <c r="F35">
        <f t="shared" si="9"/>
        <v>0.053922800829106</v>
      </c>
      <c r="G35" s="1" t="s">
        <v>60</v>
      </c>
      <c r="H35" s="1">
        <v>7465.762</v>
      </c>
      <c r="I35">
        <f t="shared" si="10"/>
        <v>0.0350861869126329</v>
      </c>
      <c r="J35" s="1" t="s">
        <v>60</v>
      </c>
      <c r="K35" s="1">
        <v>175.245</v>
      </c>
      <c r="L35">
        <f t="shared" si="11"/>
        <v>0.0120291980919601</v>
      </c>
      <c r="M35" s="1" t="s">
        <v>60</v>
      </c>
      <c r="N35" s="1">
        <v>160.411</v>
      </c>
      <c r="O35">
        <f t="shared" si="12"/>
        <v>0.00160470547098421</v>
      </c>
      <c r="P35">
        <f t="shared" si="5"/>
        <v>0.0304867074292316</v>
      </c>
      <c r="Q35">
        <f t="shared" si="6"/>
        <v>1.03048670742923</v>
      </c>
      <c r="S35">
        <f t="shared" si="7"/>
        <v>1.04979064584147</v>
      </c>
    </row>
    <row r="36" spans="1:19">
      <c r="A36" s="1" t="s">
        <v>61</v>
      </c>
      <c r="B36" s="1">
        <v>3737.873</v>
      </c>
      <c r="C36">
        <f t="shared" si="8"/>
        <v>0.0193833966310662</v>
      </c>
      <c r="D36" s="1" t="s">
        <v>61</v>
      </c>
      <c r="E36" s="1">
        <v>6298</v>
      </c>
      <c r="F36">
        <f t="shared" si="9"/>
        <v>0.0260410455517911</v>
      </c>
      <c r="G36" s="1" t="s">
        <v>61</v>
      </c>
      <c r="H36" s="1">
        <v>7444.957</v>
      </c>
      <c r="I36">
        <f t="shared" si="10"/>
        <v>-0.00278672156974725</v>
      </c>
      <c r="J36" s="1" t="s">
        <v>61</v>
      </c>
      <c r="K36" s="1">
        <v>175.789</v>
      </c>
      <c r="L36">
        <f t="shared" si="11"/>
        <v>0.00310422551285334</v>
      </c>
      <c r="M36" s="1" t="s">
        <v>61</v>
      </c>
      <c r="N36" s="1">
        <v>160.363</v>
      </c>
      <c r="O36">
        <f t="shared" si="12"/>
        <v>-0.000299231349471058</v>
      </c>
      <c r="P36">
        <f t="shared" si="5"/>
        <v>0.00908854295529847</v>
      </c>
      <c r="Q36">
        <f t="shared" si="6"/>
        <v>1.0090885429553</v>
      </c>
      <c r="S36">
        <f t="shared" si="7"/>
        <v>1.01938339663107</v>
      </c>
    </row>
    <row r="37" spans="1:19">
      <c r="A37" s="1" t="s">
        <v>62</v>
      </c>
      <c r="B37" s="1">
        <v>3822.093</v>
      </c>
      <c r="C37">
        <f t="shared" si="8"/>
        <v>0.0225315306325281</v>
      </c>
      <c r="D37" s="1" t="s">
        <v>62</v>
      </c>
      <c r="E37" s="1">
        <v>6470.426</v>
      </c>
      <c r="F37">
        <f t="shared" si="9"/>
        <v>0.027377897745316</v>
      </c>
      <c r="G37" s="1" t="s">
        <v>62</v>
      </c>
      <c r="H37" s="1">
        <v>7679.871</v>
      </c>
      <c r="I37">
        <f t="shared" si="10"/>
        <v>0.0315534394624441</v>
      </c>
      <c r="J37" s="1" t="s">
        <v>62</v>
      </c>
      <c r="K37" s="1">
        <v>175.433</v>
      </c>
      <c r="L37">
        <f t="shared" si="11"/>
        <v>-0.00202515515760369</v>
      </c>
      <c r="M37" s="1" t="s">
        <v>62</v>
      </c>
      <c r="N37" s="1">
        <v>160.712</v>
      </c>
      <c r="O37">
        <f t="shared" si="12"/>
        <v>0.0021763124910359</v>
      </c>
      <c r="P37">
        <f t="shared" si="5"/>
        <v>0.0163228050347441</v>
      </c>
      <c r="Q37">
        <f t="shared" si="6"/>
        <v>1.01632280503474</v>
      </c>
      <c r="S37">
        <f t="shared" si="7"/>
        <v>1.02253153063253</v>
      </c>
    </row>
    <row r="38" spans="1:19">
      <c r="A38" s="1" t="s">
        <v>63</v>
      </c>
      <c r="B38" s="1">
        <v>3836.501</v>
      </c>
      <c r="C38">
        <f t="shared" si="8"/>
        <v>0.00376966232899104</v>
      </c>
      <c r="D38" s="1" t="s">
        <v>63</v>
      </c>
      <c r="E38" s="1">
        <v>6603.259</v>
      </c>
      <c r="F38">
        <f t="shared" si="9"/>
        <v>0.0205292510879499</v>
      </c>
      <c r="G38" s="1" t="s">
        <v>63</v>
      </c>
      <c r="H38" s="1">
        <v>7842.586</v>
      </c>
      <c r="I38">
        <f t="shared" si="10"/>
        <v>0.0211872048371646</v>
      </c>
      <c r="J38" s="1" t="s">
        <v>63</v>
      </c>
      <c r="K38" s="1">
        <v>176.224</v>
      </c>
      <c r="L38">
        <f t="shared" si="11"/>
        <v>0.00450884383211823</v>
      </c>
      <c r="M38" s="1" t="s">
        <v>63</v>
      </c>
      <c r="N38" s="1">
        <v>160.694</v>
      </c>
      <c r="O38">
        <f t="shared" si="12"/>
        <v>-0.000112001592911548</v>
      </c>
      <c r="P38">
        <f t="shared" si="5"/>
        <v>0.00997659209866245</v>
      </c>
      <c r="Q38">
        <f t="shared" si="6"/>
        <v>1.00997659209866</v>
      </c>
      <c r="S38">
        <f t="shared" si="7"/>
        <v>1.00376966232899</v>
      </c>
    </row>
    <row r="39" spans="1:19">
      <c r="A39" s="1" t="s">
        <v>64</v>
      </c>
      <c r="B39" s="1">
        <v>4006.718</v>
      </c>
      <c r="C39">
        <f t="shared" si="8"/>
        <v>0.0443677715710226</v>
      </c>
      <c r="D39" s="1" t="s">
        <v>64</v>
      </c>
      <c r="E39" s="1">
        <v>6560.205</v>
      </c>
      <c r="F39">
        <f t="shared" si="9"/>
        <v>-0.00652011378018038</v>
      </c>
      <c r="G39" s="1" t="s">
        <v>64</v>
      </c>
      <c r="H39" s="1">
        <v>7631.533</v>
      </c>
      <c r="I39">
        <f t="shared" si="10"/>
        <v>-0.0269111489501039</v>
      </c>
      <c r="J39" s="1" t="s">
        <v>64</v>
      </c>
      <c r="K39" s="1">
        <v>175.516</v>
      </c>
      <c r="L39">
        <f t="shared" si="11"/>
        <v>-0.00401761394588704</v>
      </c>
      <c r="M39" s="1" t="s">
        <v>64</v>
      </c>
      <c r="N39" s="1">
        <v>160.813</v>
      </c>
      <c r="O39">
        <f t="shared" si="12"/>
        <v>0.00074053791678594</v>
      </c>
      <c r="P39">
        <f t="shared" ref="P39:P70" si="13">AVERAGE(F39,C39,I39,L39,O39)</f>
        <v>0.00153188656232743</v>
      </c>
      <c r="Q39">
        <f t="shared" ref="Q39:Q70" si="14">P39+1</f>
        <v>1.00153188656233</v>
      </c>
      <c r="S39">
        <f t="shared" ref="S39:S70" si="15">C39+1</f>
        <v>1.04436777157102</v>
      </c>
    </row>
    <row r="40" spans="1:19">
      <c r="A40" s="1" t="s">
        <v>65</v>
      </c>
      <c r="B40" s="1">
        <v>4006.099</v>
      </c>
      <c r="C40">
        <f t="shared" si="8"/>
        <v>-0.000154490533149497</v>
      </c>
      <c r="D40" s="1" t="s">
        <v>65</v>
      </c>
      <c r="E40" s="1">
        <v>6263.421</v>
      </c>
      <c r="F40">
        <f t="shared" si="9"/>
        <v>-0.0452400496630821</v>
      </c>
      <c r="G40" s="1" t="s">
        <v>65</v>
      </c>
      <c r="H40" s="1">
        <v>7153.573</v>
      </c>
      <c r="I40">
        <f t="shared" si="10"/>
        <v>-0.0626296184528063</v>
      </c>
      <c r="J40" s="1" t="s">
        <v>65</v>
      </c>
      <c r="K40" s="1">
        <v>174.557</v>
      </c>
      <c r="L40">
        <f t="shared" si="11"/>
        <v>-0.00546388933202673</v>
      </c>
      <c r="M40" s="1" t="s">
        <v>65</v>
      </c>
      <c r="N40" s="1">
        <v>160.806</v>
      </c>
      <c r="O40">
        <f t="shared" si="12"/>
        <v>-4.35288191873579e-5</v>
      </c>
      <c r="P40">
        <f t="shared" si="13"/>
        <v>-0.0227063153600504</v>
      </c>
      <c r="Q40">
        <f t="shared" si="14"/>
        <v>0.97729368463995</v>
      </c>
      <c r="S40">
        <f t="shared" si="15"/>
        <v>0.99984550946685</v>
      </c>
    </row>
    <row r="41" spans="1:19">
      <c r="A41" s="1" t="s">
        <v>66</v>
      </c>
      <c r="B41" s="1">
        <v>4030.855</v>
      </c>
      <c r="C41">
        <f t="shared" si="8"/>
        <v>0.00617957768891879</v>
      </c>
      <c r="D41" s="1" t="s">
        <v>66</v>
      </c>
      <c r="E41" s="1">
        <v>6250.821</v>
      </c>
      <c r="F41">
        <f t="shared" si="9"/>
        <v>-0.0020116801984092</v>
      </c>
      <c r="G41" s="1" t="s">
        <v>66</v>
      </c>
      <c r="H41" s="1">
        <v>7017.351</v>
      </c>
      <c r="I41">
        <f t="shared" si="10"/>
        <v>-0.0190425120425836</v>
      </c>
      <c r="J41" s="1" t="s">
        <v>66</v>
      </c>
      <c r="K41" s="1">
        <v>175.001</v>
      </c>
      <c r="L41">
        <f t="shared" si="11"/>
        <v>0.00254358175266541</v>
      </c>
      <c r="M41" s="1" t="s">
        <v>66</v>
      </c>
      <c r="N41" s="1">
        <v>160.848</v>
      </c>
      <c r="O41">
        <f t="shared" si="12"/>
        <v>0.000261184284168511</v>
      </c>
      <c r="P41">
        <f t="shared" si="13"/>
        <v>-0.00241396970304801</v>
      </c>
      <c r="Q41">
        <f t="shared" si="14"/>
        <v>0.997586030296952</v>
      </c>
      <c r="S41">
        <f t="shared" si="15"/>
        <v>1.00617957768892</v>
      </c>
    </row>
    <row r="42" spans="1:19">
      <c r="A42" s="1" t="s">
        <v>67</v>
      </c>
      <c r="B42" s="1">
        <v>4275.899</v>
      </c>
      <c r="C42">
        <f t="shared" si="8"/>
        <v>0.0607920652070095</v>
      </c>
      <c r="D42" s="1" t="s">
        <v>67</v>
      </c>
      <c r="E42" s="1">
        <v>6189.341</v>
      </c>
      <c r="F42">
        <f t="shared" si="9"/>
        <v>-0.00983550800766804</v>
      </c>
      <c r="G42" s="1" t="s">
        <v>67</v>
      </c>
      <c r="H42" s="1">
        <v>6791.009</v>
      </c>
      <c r="I42">
        <f t="shared" si="10"/>
        <v>-0.0322546214376336</v>
      </c>
      <c r="J42" s="1" t="s">
        <v>67</v>
      </c>
      <c r="K42" s="1">
        <v>175.448</v>
      </c>
      <c r="L42">
        <f t="shared" si="11"/>
        <v>0.00255427111845077</v>
      </c>
      <c r="M42" s="1" t="s">
        <v>67</v>
      </c>
      <c r="N42" s="1">
        <v>161.273</v>
      </c>
      <c r="O42">
        <f t="shared" si="12"/>
        <v>0.00264224609569272</v>
      </c>
      <c r="P42">
        <f t="shared" si="13"/>
        <v>0.00477969059517027</v>
      </c>
      <c r="Q42">
        <f t="shared" si="14"/>
        <v>1.00477969059517</v>
      </c>
      <c r="S42">
        <f t="shared" si="15"/>
        <v>1.06079206520701</v>
      </c>
    </row>
    <row r="43" spans="1:19">
      <c r="A43" s="1" t="s">
        <v>68</v>
      </c>
      <c r="B43" s="1">
        <v>4023.642</v>
      </c>
      <c r="C43">
        <f t="shared" si="8"/>
        <v>-0.0589950791634696</v>
      </c>
      <c r="D43" s="1" t="s">
        <v>68</v>
      </c>
      <c r="E43" s="1">
        <v>6023.677</v>
      </c>
      <c r="F43">
        <f t="shared" si="9"/>
        <v>-0.0267660159619579</v>
      </c>
      <c r="G43" s="1" t="s">
        <v>68</v>
      </c>
      <c r="H43" s="1">
        <v>6563.808</v>
      </c>
      <c r="I43">
        <f t="shared" si="10"/>
        <v>-0.0334561476799692</v>
      </c>
      <c r="J43" s="1" t="s">
        <v>68</v>
      </c>
      <c r="K43" s="1">
        <v>177.024</v>
      </c>
      <c r="L43">
        <f t="shared" si="11"/>
        <v>0.00898271852628695</v>
      </c>
      <c r="M43" s="1" t="s">
        <v>68</v>
      </c>
      <c r="N43" s="1">
        <v>162.047</v>
      </c>
      <c r="O43">
        <f t="shared" si="12"/>
        <v>0.00479931544647896</v>
      </c>
      <c r="P43">
        <f t="shared" si="13"/>
        <v>-0.0210870417665262</v>
      </c>
      <c r="Q43">
        <f t="shared" si="14"/>
        <v>0.978912958233474</v>
      </c>
      <c r="S43">
        <f t="shared" si="15"/>
        <v>0.94100492083653</v>
      </c>
    </row>
    <row r="44" spans="1:19">
      <c r="A44" s="1" t="s">
        <v>69</v>
      </c>
      <c r="B44" s="1">
        <v>3898.498</v>
      </c>
      <c r="C44">
        <f t="shared" si="8"/>
        <v>-0.0311021706205472</v>
      </c>
      <c r="D44" s="1" t="s">
        <v>69</v>
      </c>
      <c r="E44" s="1">
        <v>6114.738</v>
      </c>
      <c r="F44">
        <f t="shared" si="9"/>
        <v>0.0151171784277279</v>
      </c>
      <c r="G44" s="1" t="s">
        <v>69</v>
      </c>
      <c r="H44" s="1">
        <v>6798.668</v>
      </c>
      <c r="I44">
        <f t="shared" si="10"/>
        <v>0.0357810588000136</v>
      </c>
      <c r="J44" s="1" t="s">
        <v>69</v>
      </c>
      <c r="K44" s="1">
        <v>178.753</v>
      </c>
      <c r="L44">
        <f t="shared" si="11"/>
        <v>0.00976703723788856</v>
      </c>
      <c r="M44" s="1" t="s">
        <v>69</v>
      </c>
      <c r="N44" s="1">
        <v>162.963</v>
      </c>
      <c r="O44">
        <f t="shared" si="12"/>
        <v>0.00565268101229888</v>
      </c>
      <c r="P44">
        <f t="shared" si="13"/>
        <v>0.00704315697147635</v>
      </c>
      <c r="Q44">
        <f t="shared" si="14"/>
        <v>1.00704315697148</v>
      </c>
      <c r="S44">
        <f t="shared" si="15"/>
        <v>0.968897829379453</v>
      </c>
    </row>
    <row r="45" spans="1:19">
      <c r="A45" s="1" t="s">
        <v>70</v>
      </c>
      <c r="B45" s="1">
        <v>3756.876</v>
      </c>
      <c r="C45">
        <f t="shared" si="8"/>
        <v>-0.0363273240104265</v>
      </c>
      <c r="D45" s="1" t="s">
        <v>70</v>
      </c>
      <c r="E45" s="1">
        <v>5860.984</v>
      </c>
      <c r="F45">
        <f t="shared" si="9"/>
        <v>-0.0414987526857242</v>
      </c>
      <c r="G45" s="1" t="s">
        <v>70</v>
      </c>
      <c r="H45" s="1">
        <v>6517.054</v>
      </c>
      <c r="I45">
        <f t="shared" si="10"/>
        <v>-0.0414219373559644</v>
      </c>
      <c r="J45" s="1" t="s">
        <v>70</v>
      </c>
      <c r="K45" s="1">
        <v>181.106</v>
      </c>
      <c r="L45">
        <f t="shared" si="11"/>
        <v>0.0131634154391815</v>
      </c>
      <c r="M45" s="1" t="s">
        <v>70</v>
      </c>
      <c r="N45" s="1">
        <v>163.922</v>
      </c>
      <c r="O45">
        <f t="shared" si="12"/>
        <v>0.0058847713898247</v>
      </c>
      <c r="P45">
        <f t="shared" si="13"/>
        <v>-0.0200399654446218</v>
      </c>
      <c r="Q45">
        <f t="shared" si="14"/>
        <v>0.979960034555378</v>
      </c>
      <c r="S45">
        <f t="shared" si="15"/>
        <v>0.963672675989574</v>
      </c>
    </row>
    <row r="46" spans="1:19">
      <c r="A46" s="1" t="s">
        <v>71</v>
      </c>
      <c r="B46" s="1">
        <v>3802.376</v>
      </c>
      <c r="C46">
        <f t="shared" si="8"/>
        <v>0.0121111263720176</v>
      </c>
      <c r="D46" s="1" t="s">
        <v>71</v>
      </c>
      <c r="E46" s="1">
        <v>5754.475</v>
      </c>
      <c r="F46">
        <f t="shared" si="9"/>
        <v>-0.0181725457704713</v>
      </c>
      <c r="G46" s="1" t="s">
        <v>71</v>
      </c>
      <c r="H46" s="1">
        <v>6315.172</v>
      </c>
      <c r="I46">
        <f t="shared" si="10"/>
        <v>-0.0309774938185261</v>
      </c>
      <c r="J46" s="1" t="s">
        <v>71</v>
      </c>
      <c r="K46" s="1">
        <v>181.406</v>
      </c>
      <c r="L46">
        <f t="shared" si="11"/>
        <v>0.00165648846531872</v>
      </c>
      <c r="M46" s="1" t="s">
        <v>71</v>
      </c>
      <c r="N46" s="1">
        <v>164.699</v>
      </c>
      <c r="O46">
        <f t="shared" si="12"/>
        <v>0.00474005929649477</v>
      </c>
      <c r="P46">
        <f t="shared" si="13"/>
        <v>-0.00612847309103325</v>
      </c>
      <c r="Q46">
        <f t="shared" si="14"/>
        <v>0.993871526908967</v>
      </c>
      <c r="S46">
        <f t="shared" si="15"/>
        <v>1.01211112637202</v>
      </c>
    </row>
    <row r="47" spans="1:19">
      <c r="A47" s="1" t="s">
        <v>72</v>
      </c>
      <c r="B47" s="1">
        <v>3510.985</v>
      </c>
      <c r="C47">
        <f t="shared" si="8"/>
        <v>-0.0766339257348563</v>
      </c>
      <c r="D47" s="1" t="s">
        <v>72</v>
      </c>
      <c r="E47" s="1">
        <v>5217.764</v>
      </c>
      <c r="F47">
        <f t="shared" si="9"/>
        <v>-0.0932684562883669</v>
      </c>
      <c r="G47" s="1" t="s">
        <v>72</v>
      </c>
      <c r="H47" s="1">
        <v>5608.536</v>
      </c>
      <c r="I47">
        <f t="shared" si="10"/>
        <v>-0.111894972931854</v>
      </c>
      <c r="J47" s="1" t="s">
        <v>72</v>
      </c>
      <c r="K47" s="1">
        <v>182.62</v>
      </c>
      <c r="L47">
        <f t="shared" si="11"/>
        <v>0.00669217115200158</v>
      </c>
      <c r="M47" s="1" t="s">
        <v>72</v>
      </c>
      <c r="N47" s="1">
        <v>165.444</v>
      </c>
      <c r="O47">
        <f t="shared" si="12"/>
        <v>0.00452340329935201</v>
      </c>
      <c r="P47">
        <f t="shared" si="13"/>
        <v>-0.0541163561007446</v>
      </c>
      <c r="Q47">
        <f t="shared" si="14"/>
        <v>0.945883643899255</v>
      </c>
      <c r="S47">
        <f t="shared" si="15"/>
        <v>0.923366074265144</v>
      </c>
    </row>
    <row r="48" spans="1:19">
      <c r="A48" s="1" t="s">
        <v>73</v>
      </c>
      <c r="B48" s="1">
        <v>3517.657</v>
      </c>
      <c r="C48">
        <f t="shared" si="8"/>
        <v>0.00190032141977252</v>
      </c>
      <c r="D48" s="1" t="s">
        <v>73</v>
      </c>
      <c r="E48" s="1">
        <v>5188.717</v>
      </c>
      <c r="F48">
        <f t="shared" si="9"/>
        <v>-0.00556694400130027</v>
      </c>
      <c r="G48" s="1" t="s">
        <v>73</v>
      </c>
      <c r="H48" s="1">
        <v>5542.543</v>
      </c>
      <c r="I48">
        <f t="shared" si="10"/>
        <v>-0.0117665287340583</v>
      </c>
      <c r="J48" s="1" t="s">
        <v>73</v>
      </c>
      <c r="K48" s="1">
        <v>184.757</v>
      </c>
      <c r="L48">
        <f t="shared" si="11"/>
        <v>0.0117018946446172</v>
      </c>
      <c r="M48" s="1" t="s">
        <v>73</v>
      </c>
      <c r="N48" s="1">
        <v>166.415</v>
      </c>
      <c r="O48">
        <f t="shared" si="12"/>
        <v>0.00586905539034358</v>
      </c>
      <c r="P48">
        <f t="shared" si="13"/>
        <v>0.000427559743874956</v>
      </c>
      <c r="Q48">
        <f t="shared" si="14"/>
        <v>1.00042755974387</v>
      </c>
      <c r="S48">
        <f t="shared" si="15"/>
        <v>1.00190032141977</v>
      </c>
    </row>
    <row r="49" spans="1:19">
      <c r="A49" s="1" t="s">
        <v>74</v>
      </c>
      <c r="B49" s="1">
        <v>3334.504</v>
      </c>
      <c r="C49">
        <f t="shared" si="8"/>
        <v>-0.052066759209326</v>
      </c>
      <c r="D49" s="1" t="s">
        <v>74</v>
      </c>
      <c r="E49" s="1">
        <v>4814.824</v>
      </c>
      <c r="F49">
        <f t="shared" si="9"/>
        <v>-0.0720588538553943</v>
      </c>
      <c r="G49" s="1" t="s">
        <v>74</v>
      </c>
      <c r="H49" s="1">
        <v>5057.985</v>
      </c>
      <c r="I49">
        <f t="shared" si="10"/>
        <v>-0.0874252125784139</v>
      </c>
      <c r="J49" s="1" t="s">
        <v>74</v>
      </c>
      <c r="K49" s="1">
        <v>184.656</v>
      </c>
      <c r="L49">
        <f t="shared" si="11"/>
        <v>-0.000546663996492685</v>
      </c>
      <c r="M49" s="1" t="s">
        <v>74</v>
      </c>
      <c r="N49" s="1">
        <v>166.595</v>
      </c>
      <c r="O49">
        <f t="shared" si="12"/>
        <v>0.00108163326623205</v>
      </c>
      <c r="P49">
        <f t="shared" si="13"/>
        <v>-0.042203171274679</v>
      </c>
      <c r="Q49">
        <f t="shared" si="14"/>
        <v>0.957796828725321</v>
      </c>
      <c r="S49">
        <f t="shared" si="15"/>
        <v>0.947933240790674</v>
      </c>
    </row>
    <row r="50" spans="1:19">
      <c r="A50" s="1" t="s">
        <v>75</v>
      </c>
      <c r="B50" s="1">
        <v>3438.865</v>
      </c>
      <c r="C50">
        <f t="shared" si="8"/>
        <v>0.031297308385295</v>
      </c>
      <c r="D50" s="1" t="s">
        <v>75</v>
      </c>
      <c r="E50" s="1">
        <v>4800.729</v>
      </c>
      <c r="F50">
        <f t="shared" si="9"/>
        <v>-0.00292741749231111</v>
      </c>
      <c r="G50" s="1" t="s">
        <v>75</v>
      </c>
      <c r="H50" s="1">
        <v>4987.273</v>
      </c>
      <c r="I50">
        <f t="shared" si="10"/>
        <v>-0.0139802707995377</v>
      </c>
      <c r="J50" s="1" t="s">
        <v>75</v>
      </c>
      <c r="K50" s="1">
        <v>185.089</v>
      </c>
      <c r="L50">
        <f t="shared" si="11"/>
        <v>0.00234490078849316</v>
      </c>
      <c r="M50" s="1" t="s">
        <v>75</v>
      </c>
      <c r="N50" s="1">
        <v>166.917</v>
      </c>
      <c r="O50">
        <f t="shared" si="12"/>
        <v>0.00193283111738049</v>
      </c>
      <c r="P50">
        <f t="shared" si="13"/>
        <v>0.00373347039986398</v>
      </c>
      <c r="Q50">
        <f t="shared" si="14"/>
        <v>1.00373347039986</v>
      </c>
      <c r="S50">
        <f t="shared" si="15"/>
        <v>1.03129730838529</v>
      </c>
    </row>
    <row r="51" spans="1:19">
      <c r="A51" s="1" t="s">
        <v>76</v>
      </c>
      <c r="B51" s="1">
        <v>3153.823</v>
      </c>
      <c r="C51">
        <f t="shared" si="8"/>
        <v>-0.0828883948628399</v>
      </c>
      <c r="D51" s="1" t="s">
        <v>76</v>
      </c>
      <c r="E51" s="1">
        <v>4272.552</v>
      </c>
      <c r="F51">
        <f t="shared" si="9"/>
        <v>-0.110020165687336</v>
      </c>
      <c r="G51" s="1" t="s">
        <v>76</v>
      </c>
      <c r="H51" s="1">
        <v>4400.613</v>
      </c>
      <c r="I51">
        <f t="shared" si="10"/>
        <v>-0.117631419013958</v>
      </c>
      <c r="J51" s="1" t="s">
        <v>76</v>
      </c>
      <c r="K51" s="1">
        <v>186.979</v>
      </c>
      <c r="L51">
        <f t="shared" si="11"/>
        <v>0.0102113037511684</v>
      </c>
      <c r="M51" s="1" t="s">
        <v>76</v>
      </c>
      <c r="N51" s="1">
        <v>167.638</v>
      </c>
      <c r="O51">
        <f t="shared" si="12"/>
        <v>0.00431951209283658</v>
      </c>
      <c r="P51">
        <f t="shared" si="13"/>
        <v>-0.0592018327440259</v>
      </c>
      <c r="Q51">
        <f t="shared" si="14"/>
        <v>0.940798167255974</v>
      </c>
      <c r="S51">
        <f t="shared" si="15"/>
        <v>0.91711160513716</v>
      </c>
    </row>
    <row r="52" spans="1:19">
      <c r="A52" s="1" t="s">
        <v>77</v>
      </c>
      <c r="B52" s="1">
        <v>3172.69</v>
      </c>
      <c r="C52">
        <f t="shared" si="8"/>
        <v>0.0059822634307633</v>
      </c>
      <c r="D52" s="1" t="s">
        <v>77</v>
      </c>
      <c r="E52" s="1">
        <v>4376.651</v>
      </c>
      <c r="F52">
        <f t="shared" si="9"/>
        <v>0.0243645952114802</v>
      </c>
      <c r="G52" s="1" t="s">
        <v>77</v>
      </c>
      <c r="H52" s="1">
        <v>4648.184</v>
      </c>
      <c r="I52">
        <f t="shared" si="10"/>
        <v>0.0562582985597688</v>
      </c>
      <c r="J52" s="1" t="s">
        <v>77</v>
      </c>
      <c r="K52" s="1">
        <v>189.005</v>
      </c>
      <c r="L52">
        <f t="shared" si="11"/>
        <v>0.0108354414132067</v>
      </c>
      <c r="M52" s="1" t="s">
        <v>77</v>
      </c>
      <c r="N52" s="1">
        <v>168.694</v>
      </c>
      <c r="O52">
        <f t="shared" si="12"/>
        <v>0.00629928775098715</v>
      </c>
      <c r="P52">
        <f t="shared" si="13"/>
        <v>0.0207479772732412</v>
      </c>
      <c r="Q52">
        <f t="shared" si="14"/>
        <v>1.02074797727324</v>
      </c>
      <c r="S52">
        <f t="shared" si="15"/>
        <v>1.00598226343076</v>
      </c>
    </row>
    <row r="53" spans="1:19">
      <c r="A53" s="1" t="s">
        <v>78</v>
      </c>
      <c r="B53" s="1">
        <v>3010.654</v>
      </c>
      <c r="C53">
        <f t="shared" si="8"/>
        <v>-0.0510721186122817</v>
      </c>
      <c r="D53" s="1" t="s">
        <v>78</v>
      </c>
      <c r="E53" s="1">
        <v>4168.036</v>
      </c>
      <c r="F53">
        <f t="shared" si="9"/>
        <v>-0.0476654409958664</v>
      </c>
      <c r="G53" s="1" t="s">
        <v>78</v>
      </c>
      <c r="H53" s="1">
        <v>4430.024</v>
      </c>
      <c r="I53">
        <f t="shared" si="10"/>
        <v>-0.0469344587047328</v>
      </c>
      <c r="J53" s="1" t="s">
        <v>78</v>
      </c>
      <c r="K53" s="1">
        <v>190.482</v>
      </c>
      <c r="L53">
        <f t="shared" si="11"/>
        <v>0.00781460807915137</v>
      </c>
      <c r="M53" s="1" t="s">
        <v>78</v>
      </c>
      <c r="N53" s="1">
        <v>169.882</v>
      </c>
      <c r="O53">
        <f t="shared" si="12"/>
        <v>0.00704233701257909</v>
      </c>
      <c r="P53">
        <f t="shared" si="13"/>
        <v>-0.0261630146442301</v>
      </c>
      <c r="Q53">
        <f t="shared" si="14"/>
        <v>0.97383698535577</v>
      </c>
      <c r="S53">
        <f t="shared" si="15"/>
        <v>0.948927881387718</v>
      </c>
    </row>
    <row r="54" spans="1:19">
      <c r="A54" s="1" t="s">
        <v>79</v>
      </c>
      <c r="B54" s="1">
        <v>3201.633</v>
      </c>
      <c r="C54">
        <f t="shared" si="8"/>
        <v>0.0634343900029694</v>
      </c>
      <c r="D54" s="1" t="s">
        <v>79</v>
      </c>
      <c r="E54" s="1">
        <v>4176.474</v>
      </c>
      <c r="F54">
        <f t="shared" si="9"/>
        <v>0.00202445468321293</v>
      </c>
      <c r="G54" s="1" t="s">
        <v>79</v>
      </c>
      <c r="H54" s="1">
        <v>4355.736</v>
      </c>
      <c r="I54">
        <f t="shared" si="10"/>
        <v>-0.0167692093767439</v>
      </c>
      <c r="J54" s="1" t="s">
        <v>79</v>
      </c>
      <c r="K54" s="1">
        <v>192.328</v>
      </c>
      <c r="L54">
        <f t="shared" si="11"/>
        <v>0.00969120441826526</v>
      </c>
      <c r="M54" s="1" t="s">
        <v>79</v>
      </c>
      <c r="N54" s="1">
        <v>170.964</v>
      </c>
      <c r="O54">
        <f t="shared" si="12"/>
        <v>0.00636912680566507</v>
      </c>
      <c r="P54">
        <f t="shared" si="13"/>
        <v>0.0129499933066738</v>
      </c>
      <c r="Q54">
        <f t="shared" si="14"/>
        <v>1.01294999330667</v>
      </c>
      <c r="S54">
        <f t="shared" si="15"/>
        <v>1.06343439000297</v>
      </c>
    </row>
    <row r="55" spans="1:19">
      <c r="A55" s="1" t="s">
        <v>80</v>
      </c>
      <c r="B55" s="1">
        <v>3669.37</v>
      </c>
      <c r="C55">
        <f t="shared" si="8"/>
        <v>0.146093259283622</v>
      </c>
      <c r="D55" s="1" t="s">
        <v>80</v>
      </c>
      <c r="E55" s="1">
        <v>5025.291</v>
      </c>
      <c r="F55">
        <f t="shared" si="9"/>
        <v>0.203237707214267</v>
      </c>
      <c r="G55" s="1" t="s">
        <v>80</v>
      </c>
      <c r="H55" s="1">
        <v>5330.339</v>
      </c>
      <c r="I55">
        <f t="shared" si="10"/>
        <v>0.223751623147041</v>
      </c>
      <c r="J55" s="1" t="s">
        <v>80</v>
      </c>
      <c r="K55" s="1">
        <v>192.474</v>
      </c>
      <c r="L55">
        <f t="shared" si="11"/>
        <v>0.000759119836945149</v>
      </c>
      <c r="M55" s="1" t="s">
        <v>80</v>
      </c>
      <c r="N55" s="1">
        <v>171.418</v>
      </c>
      <c r="O55">
        <f t="shared" si="12"/>
        <v>0.00265552981914326</v>
      </c>
      <c r="P55">
        <f t="shared" si="13"/>
        <v>0.115299447860204</v>
      </c>
      <c r="Q55">
        <f t="shared" si="14"/>
        <v>1.1152994478602</v>
      </c>
      <c r="S55">
        <f t="shared" si="15"/>
        <v>1.14609325928362</v>
      </c>
    </row>
    <row r="56" spans="1:19">
      <c r="A56" s="1" t="s">
        <v>81</v>
      </c>
      <c r="B56" s="1">
        <v>3872.341</v>
      </c>
      <c r="C56">
        <f t="shared" si="8"/>
        <v>0.0553149450723149</v>
      </c>
      <c r="D56" s="1" t="s">
        <v>81</v>
      </c>
      <c r="E56" s="1">
        <v>5547.656</v>
      </c>
      <c r="F56">
        <f t="shared" si="9"/>
        <v>0.103947214201128</v>
      </c>
      <c r="G56" s="1" t="s">
        <v>81</v>
      </c>
      <c r="H56" s="1">
        <v>5911.212</v>
      </c>
      <c r="I56">
        <f t="shared" si="10"/>
        <v>0.10897487007862</v>
      </c>
      <c r="J56" s="1" t="s">
        <v>81</v>
      </c>
      <c r="K56" s="1">
        <v>193.196</v>
      </c>
      <c r="L56">
        <f t="shared" si="11"/>
        <v>0.00375115600029099</v>
      </c>
      <c r="M56" s="1" t="s">
        <v>81</v>
      </c>
      <c r="N56" s="1">
        <v>172.023</v>
      </c>
      <c r="O56">
        <f t="shared" si="12"/>
        <v>0.00352938431203252</v>
      </c>
      <c r="P56">
        <f t="shared" si="13"/>
        <v>0.0551035139328772</v>
      </c>
      <c r="Q56">
        <f t="shared" si="14"/>
        <v>1.05510351393288</v>
      </c>
      <c r="S56">
        <f t="shared" si="15"/>
        <v>1.05531494507231</v>
      </c>
    </row>
    <row r="57" spans="1:19">
      <c r="A57" s="1" t="s">
        <v>82</v>
      </c>
      <c r="B57" s="1">
        <v>3913.211</v>
      </c>
      <c r="C57">
        <f t="shared" si="8"/>
        <v>0.010554339093587</v>
      </c>
      <c r="D57" s="1" t="s">
        <v>82</v>
      </c>
      <c r="E57" s="1">
        <v>5307.56</v>
      </c>
      <c r="F57">
        <f t="shared" si="9"/>
        <v>-0.0432788190183385</v>
      </c>
      <c r="G57" s="1" t="s">
        <v>82</v>
      </c>
      <c r="H57" s="1">
        <v>5682.236</v>
      </c>
      <c r="I57">
        <f t="shared" si="10"/>
        <v>-0.0387358802221948</v>
      </c>
      <c r="J57" s="1" t="s">
        <v>82</v>
      </c>
      <c r="K57" s="1">
        <v>191.636</v>
      </c>
      <c r="L57">
        <f t="shared" si="11"/>
        <v>-0.00807470133957226</v>
      </c>
      <c r="M57" s="1" t="s">
        <v>82</v>
      </c>
      <c r="N57" s="1">
        <v>172.018</v>
      </c>
      <c r="O57">
        <f t="shared" si="12"/>
        <v>-2.90658807252254e-5</v>
      </c>
      <c r="P57">
        <f t="shared" si="13"/>
        <v>-0.0159128254734487</v>
      </c>
      <c r="Q57">
        <f t="shared" si="14"/>
        <v>0.984087174526551</v>
      </c>
      <c r="S57">
        <f t="shared" si="15"/>
        <v>1.01055433909359</v>
      </c>
    </row>
    <row r="58" spans="1:19">
      <c r="A58" s="1" t="s">
        <v>83</v>
      </c>
      <c r="B58" s="1">
        <v>3629.789</v>
      </c>
      <c r="C58">
        <f t="shared" si="8"/>
        <v>-0.0724269659877782</v>
      </c>
      <c r="D58" s="1" t="s">
        <v>83</v>
      </c>
      <c r="E58" s="1">
        <v>4912.001</v>
      </c>
      <c r="F58">
        <f t="shared" si="9"/>
        <v>-0.0745274664817732</v>
      </c>
      <c r="G58" s="1" t="s">
        <v>83</v>
      </c>
      <c r="H58" s="1">
        <v>5334.248</v>
      </c>
      <c r="I58">
        <f t="shared" si="10"/>
        <v>-0.0612413845535455</v>
      </c>
      <c r="J58" s="1" t="s">
        <v>83</v>
      </c>
      <c r="K58" s="1">
        <v>193.321</v>
      </c>
      <c r="L58">
        <f t="shared" si="11"/>
        <v>0.00879271118161516</v>
      </c>
      <c r="M58" s="1" t="s">
        <v>83</v>
      </c>
      <c r="N58" s="1">
        <v>172.555</v>
      </c>
      <c r="O58">
        <f t="shared" si="12"/>
        <v>0.00312176632677979</v>
      </c>
      <c r="P58">
        <f t="shared" si="13"/>
        <v>-0.0392562679029404</v>
      </c>
      <c r="Q58">
        <f t="shared" si="14"/>
        <v>0.96074373209706</v>
      </c>
      <c r="S58">
        <f t="shared" si="15"/>
        <v>0.927573034012222</v>
      </c>
    </row>
    <row r="59" spans="1:19">
      <c r="A59" s="1" t="s">
        <v>84</v>
      </c>
      <c r="B59" s="1">
        <v>3825.587</v>
      </c>
      <c r="C59">
        <f t="shared" si="8"/>
        <v>0.053941978445579</v>
      </c>
      <c r="D59" s="1" t="s">
        <v>84</v>
      </c>
      <c r="E59" s="1">
        <v>4950.48</v>
      </c>
      <c r="F59">
        <f t="shared" si="9"/>
        <v>0.00783367104363361</v>
      </c>
      <c r="G59" s="1" t="s">
        <v>84</v>
      </c>
      <c r="H59" s="1">
        <v>5321.433</v>
      </c>
      <c r="I59">
        <f t="shared" si="10"/>
        <v>-0.00240240048831618</v>
      </c>
      <c r="J59" s="1" t="s">
        <v>84</v>
      </c>
      <c r="K59" s="1">
        <v>194.42</v>
      </c>
      <c r="L59">
        <f t="shared" si="11"/>
        <v>0.00568484541255213</v>
      </c>
      <c r="M59" s="1" t="s">
        <v>84</v>
      </c>
      <c r="N59" s="1">
        <v>173.313</v>
      </c>
      <c r="O59">
        <f t="shared" si="12"/>
        <v>0.00439280229492035</v>
      </c>
      <c r="P59">
        <f t="shared" si="13"/>
        <v>0.0138901793416738</v>
      </c>
      <c r="Q59">
        <f t="shared" si="14"/>
        <v>1.01389017934167</v>
      </c>
      <c r="S59">
        <f t="shared" si="15"/>
        <v>1.05394197844558</v>
      </c>
    </row>
    <row r="60" spans="1:19">
      <c r="A60" s="1" t="s">
        <v>85</v>
      </c>
      <c r="B60" s="1">
        <v>3835.359</v>
      </c>
      <c r="C60">
        <f t="shared" ref="C60:C91" si="16">(B60-B59)/B59</f>
        <v>0.00255437923644134</v>
      </c>
      <c r="D60" s="1" t="s">
        <v>85</v>
      </c>
      <c r="E60" s="1">
        <v>4903.203</v>
      </c>
      <c r="F60">
        <f t="shared" ref="F60:F91" si="17">(E60-E59)/E59</f>
        <v>-0.00954998303194824</v>
      </c>
      <c r="G60" s="1" t="s">
        <v>85</v>
      </c>
      <c r="H60" s="1">
        <v>5200.095</v>
      </c>
      <c r="I60">
        <f t="shared" ref="I60:I91" si="18">(H60-H59)/H59</f>
        <v>-0.0228017528361251</v>
      </c>
      <c r="J60" s="1" t="s">
        <v>85</v>
      </c>
      <c r="K60" s="1">
        <v>195.707</v>
      </c>
      <c r="L60">
        <f t="shared" ref="L60:L91" si="19">(K60-K59)/K59</f>
        <v>0.00661968933237325</v>
      </c>
      <c r="M60" s="1" t="s">
        <v>85</v>
      </c>
      <c r="N60" s="1">
        <v>174.022</v>
      </c>
      <c r="O60">
        <f t="shared" ref="O60:O91" si="20">(N60-N59)/N59</f>
        <v>0.00409086450525929</v>
      </c>
      <c r="P60">
        <f t="shared" si="13"/>
        <v>-0.00381736055879989</v>
      </c>
      <c r="Q60">
        <f t="shared" si="14"/>
        <v>0.9961826394412</v>
      </c>
      <c r="S60">
        <f t="shared" si="15"/>
        <v>1.00255437923644</v>
      </c>
    </row>
    <row r="61" spans="1:19">
      <c r="A61" s="1" t="s">
        <v>86</v>
      </c>
      <c r="B61" s="1">
        <v>3799.586</v>
      </c>
      <c r="C61">
        <f t="shared" si="16"/>
        <v>-0.00932715816172623</v>
      </c>
      <c r="D61" s="1" t="s">
        <v>86</v>
      </c>
      <c r="E61" s="1">
        <v>4886.494</v>
      </c>
      <c r="F61">
        <f t="shared" si="17"/>
        <v>-0.00340777242957323</v>
      </c>
      <c r="G61" s="1" t="s">
        <v>86</v>
      </c>
      <c r="H61" s="1">
        <v>5182.956</v>
      </c>
      <c r="I61">
        <f t="shared" si="18"/>
        <v>-0.00329590132487967</v>
      </c>
      <c r="J61" s="1" t="s">
        <v>86</v>
      </c>
      <c r="K61" s="1">
        <v>197.159</v>
      </c>
      <c r="L61">
        <f t="shared" si="19"/>
        <v>0.00741925429340799</v>
      </c>
      <c r="M61" s="1" t="s">
        <v>86</v>
      </c>
      <c r="N61" s="1">
        <v>174.98</v>
      </c>
      <c r="O61">
        <f t="shared" si="20"/>
        <v>0.00550505108549493</v>
      </c>
      <c r="P61">
        <f t="shared" si="13"/>
        <v>-0.00062130530745524</v>
      </c>
      <c r="Q61">
        <f t="shared" si="14"/>
        <v>0.999378694692545</v>
      </c>
      <c r="S61">
        <f t="shared" si="15"/>
        <v>0.990672841838274</v>
      </c>
    </row>
    <row r="62" spans="1:19">
      <c r="A62" s="1" t="s">
        <v>87</v>
      </c>
      <c r="B62" s="1">
        <v>3814.528</v>
      </c>
      <c r="C62">
        <f t="shared" si="16"/>
        <v>0.003932533702356</v>
      </c>
      <c r="D62" s="1" t="s">
        <v>87</v>
      </c>
      <c r="E62" s="1">
        <v>4940.903</v>
      </c>
      <c r="F62">
        <f t="shared" si="17"/>
        <v>0.0111345680563612</v>
      </c>
      <c r="G62" s="1" t="s">
        <v>87</v>
      </c>
      <c r="H62" s="1">
        <v>5232.387</v>
      </c>
      <c r="I62">
        <f t="shared" si="18"/>
        <v>0.00953722161639026</v>
      </c>
      <c r="J62" s="1" t="s">
        <v>87</v>
      </c>
      <c r="K62" s="1">
        <v>197.346</v>
      </c>
      <c r="L62">
        <f t="shared" si="19"/>
        <v>0.000948473059814727</v>
      </c>
      <c r="M62" s="1" t="s">
        <v>87</v>
      </c>
      <c r="N62" s="1">
        <v>175.532</v>
      </c>
      <c r="O62">
        <f t="shared" si="20"/>
        <v>0.0031546462452853</v>
      </c>
      <c r="P62">
        <f t="shared" si="13"/>
        <v>0.00574148853604149</v>
      </c>
      <c r="Q62">
        <f t="shared" si="14"/>
        <v>1.00574148853604</v>
      </c>
      <c r="S62">
        <f t="shared" si="15"/>
        <v>1.00393253370236</v>
      </c>
    </row>
    <row r="63" spans="1:19">
      <c r="A63" s="1" t="s">
        <v>88</v>
      </c>
      <c r="B63" s="1">
        <v>3886.752</v>
      </c>
      <c r="C63">
        <f t="shared" si="16"/>
        <v>0.0189339283916648</v>
      </c>
      <c r="D63" s="1" t="s">
        <v>88</v>
      </c>
      <c r="E63" s="1">
        <v>4917.417</v>
      </c>
      <c r="F63">
        <f t="shared" si="17"/>
        <v>-0.00475338212468447</v>
      </c>
      <c r="G63" s="1" t="s">
        <v>88</v>
      </c>
      <c r="H63" s="1">
        <v>5253.881</v>
      </c>
      <c r="I63">
        <f t="shared" si="18"/>
        <v>0.00410787657717225</v>
      </c>
      <c r="J63" s="1" t="s">
        <v>88</v>
      </c>
      <c r="K63" s="1">
        <v>196.846</v>
      </c>
      <c r="L63">
        <f t="shared" si="19"/>
        <v>-0.00253362115269628</v>
      </c>
      <c r="M63" s="1" t="s">
        <v>88</v>
      </c>
      <c r="N63" s="1">
        <v>175.764</v>
      </c>
      <c r="O63">
        <f t="shared" si="20"/>
        <v>0.0013216963288745</v>
      </c>
      <c r="P63">
        <f t="shared" si="13"/>
        <v>0.00341529960406615</v>
      </c>
      <c r="Q63">
        <f t="shared" si="14"/>
        <v>1.00341529960407</v>
      </c>
      <c r="S63">
        <f t="shared" si="15"/>
        <v>1.01893392839166</v>
      </c>
    </row>
    <row r="64" spans="1:19">
      <c r="A64" s="1" t="s">
        <v>89</v>
      </c>
      <c r="B64" s="1">
        <v>3828.671</v>
      </c>
      <c r="C64">
        <f t="shared" si="16"/>
        <v>-0.0149433254295618</v>
      </c>
      <c r="D64" s="1" t="s">
        <v>89</v>
      </c>
      <c r="E64" s="1">
        <v>4894.942</v>
      </c>
      <c r="F64">
        <f t="shared" si="17"/>
        <v>-0.00457048893758662</v>
      </c>
      <c r="G64" s="1" t="s">
        <v>89</v>
      </c>
      <c r="H64" s="1">
        <v>5126.615</v>
      </c>
      <c r="I64">
        <f t="shared" si="18"/>
        <v>-0.0242232361182144</v>
      </c>
      <c r="J64" s="1" t="s">
        <v>89</v>
      </c>
      <c r="K64" s="1">
        <v>198.584</v>
      </c>
      <c r="L64">
        <f t="shared" si="19"/>
        <v>0.00882923706857137</v>
      </c>
      <c r="M64" s="1" t="s">
        <v>89</v>
      </c>
      <c r="N64" s="1">
        <v>176.45</v>
      </c>
      <c r="O64">
        <f t="shared" si="20"/>
        <v>0.00390296078832968</v>
      </c>
      <c r="P64">
        <f t="shared" si="13"/>
        <v>-0.00620097052569236</v>
      </c>
      <c r="Q64">
        <f t="shared" si="14"/>
        <v>0.993799029474308</v>
      </c>
      <c r="S64">
        <f t="shared" si="15"/>
        <v>0.985056674570438</v>
      </c>
    </row>
    <row r="65" spans="1:19">
      <c r="A65" s="1" t="s">
        <v>90</v>
      </c>
      <c r="B65" s="1">
        <v>4096.582</v>
      </c>
      <c r="C65">
        <f t="shared" si="16"/>
        <v>0.069974933860862</v>
      </c>
      <c r="D65" s="1" t="s">
        <v>90</v>
      </c>
      <c r="E65" s="1">
        <v>5267.662</v>
      </c>
      <c r="F65">
        <f t="shared" si="17"/>
        <v>0.0761439052801852</v>
      </c>
      <c r="G65" s="1" t="s">
        <v>90</v>
      </c>
      <c r="H65" s="1">
        <v>5567.033</v>
      </c>
      <c r="I65">
        <f t="shared" si="18"/>
        <v>0.0859081479689816</v>
      </c>
      <c r="J65" s="1" t="s">
        <v>90</v>
      </c>
      <c r="K65" s="1">
        <v>199.922</v>
      </c>
      <c r="L65">
        <f t="shared" si="19"/>
        <v>0.00673770293679246</v>
      </c>
      <c r="M65" s="1" t="s">
        <v>90</v>
      </c>
      <c r="N65" s="1">
        <v>177.274</v>
      </c>
      <c r="O65">
        <f t="shared" si="20"/>
        <v>0.00466987815245119</v>
      </c>
      <c r="P65">
        <f t="shared" si="13"/>
        <v>0.0486869136398545</v>
      </c>
      <c r="Q65">
        <f t="shared" si="14"/>
        <v>1.04868691363985</v>
      </c>
      <c r="S65">
        <f t="shared" si="15"/>
        <v>1.06997493386086</v>
      </c>
    </row>
    <row r="66" spans="1:19">
      <c r="A66" s="1" t="s">
        <v>91</v>
      </c>
      <c r="B66" s="1">
        <v>4003.901</v>
      </c>
      <c r="C66">
        <f t="shared" si="16"/>
        <v>-0.0226239826274686</v>
      </c>
      <c r="D66" s="1" t="s">
        <v>91</v>
      </c>
      <c r="E66" s="1">
        <v>5377.741</v>
      </c>
      <c r="F66">
        <f t="shared" si="17"/>
        <v>0.0208971266569495</v>
      </c>
      <c r="G66" s="1" t="s">
        <v>91</v>
      </c>
      <c r="H66" s="1">
        <v>5699.008</v>
      </c>
      <c r="I66">
        <f t="shared" si="18"/>
        <v>0.0237065237443355</v>
      </c>
      <c r="J66" s="1" t="s">
        <v>91</v>
      </c>
      <c r="K66" s="1">
        <v>201.265</v>
      </c>
      <c r="L66">
        <f t="shared" si="19"/>
        <v>0.00671761987174993</v>
      </c>
      <c r="M66" s="1" t="s">
        <v>91</v>
      </c>
      <c r="N66" s="1">
        <v>178.151</v>
      </c>
      <c r="O66">
        <f t="shared" si="20"/>
        <v>0.00494714396922284</v>
      </c>
      <c r="P66">
        <f t="shared" si="13"/>
        <v>0.00672888632295784</v>
      </c>
      <c r="Q66">
        <f t="shared" si="14"/>
        <v>1.00672888632296</v>
      </c>
      <c r="S66">
        <f t="shared" si="15"/>
        <v>0.977376017372531</v>
      </c>
    </row>
    <row r="67" spans="1:19">
      <c r="A67" s="1" t="s">
        <v>92</v>
      </c>
      <c r="B67" s="1">
        <v>3940.049</v>
      </c>
      <c r="C67">
        <f t="shared" si="16"/>
        <v>-0.0159474472520674</v>
      </c>
      <c r="D67" s="1" t="s">
        <v>92</v>
      </c>
      <c r="E67" s="1">
        <v>5451.29</v>
      </c>
      <c r="F67">
        <f t="shared" si="17"/>
        <v>0.0136765604739983</v>
      </c>
      <c r="G67" s="1" t="s">
        <v>92</v>
      </c>
      <c r="H67" s="1">
        <v>5870.966</v>
      </c>
      <c r="I67">
        <f t="shared" si="18"/>
        <v>0.0301733213920739</v>
      </c>
      <c r="J67" s="1" t="s">
        <v>92</v>
      </c>
      <c r="K67" s="1">
        <v>204.09</v>
      </c>
      <c r="L67">
        <f t="shared" si="19"/>
        <v>0.0140362209027899</v>
      </c>
      <c r="M67" s="1" t="s">
        <v>92</v>
      </c>
      <c r="N67" s="1">
        <v>179.437</v>
      </c>
      <c r="O67">
        <f t="shared" si="20"/>
        <v>0.00721859546115375</v>
      </c>
      <c r="P67">
        <f t="shared" si="13"/>
        <v>0.00983145019558971</v>
      </c>
      <c r="Q67">
        <f t="shared" si="14"/>
        <v>1.00983145019559</v>
      </c>
      <c r="S67">
        <f t="shared" si="15"/>
        <v>0.984052552747933</v>
      </c>
    </row>
    <row r="68" spans="1:19">
      <c r="A68" s="1" t="s">
        <v>93</v>
      </c>
      <c r="B68" s="1">
        <v>3686.155</v>
      </c>
      <c r="C68">
        <f t="shared" si="16"/>
        <v>-0.0644393001203792</v>
      </c>
      <c r="D68" s="1" t="s">
        <v>93</v>
      </c>
      <c r="E68" s="1">
        <v>5041.453</v>
      </c>
      <c r="F68">
        <f t="shared" si="17"/>
        <v>-0.0751816542506452</v>
      </c>
      <c r="G68" s="1" t="s">
        <v>93</v>
      </c>
      <c r="H68" s="1">
        <v>5427.132</v>
      </c>
      <c r="I68">
        <f t="shared" si="18"/>
        <v>-0.0755981213313108</v>
      </c>
      <c r="J68" s="1" t="s">
        <v>93</v>
      </c>
      <c r="K68" s="1">
        <v>205.759</v>
      </c>
      <c r="L68">
        <f t="shared" si="19"/>
        <v>0.00817776471164674</v>
      </c>
      <c r="M68" s="1" t="s">
        <v>93</v>
      </c>
      <c r="N68" s="1">
        <v>181.343</v>
      </c>
      <c r="O68">
        <f t="shared" si="20"/>
        <v>0.0106221124963078</v>
      </c>
      <c r="P68">
        <f t="shared" si="13"/>
        <v>-0.0392838396988761</v>
      </c>
      <c r="Q68">
        <f t="shared" si="14"/>
        <v>0.960716160301124</v>
      </c>
      <c r="S68">
        <f t="shared" si="15"/>
        <v>0.935560699879621</v>
      </c>
    </row>
    <row r="69" spans="1:19">
      <c r="A69" s="1" t="s">
        <v>94</v>
      </c>
      <c r="B69" s="1">
        <v>3912.577</v>
      </c>
      <c r="C69">
        <f t="shared" si="16"/>
        <v>0.0614249807726479</v>
      </c>
      <c r="D69" s="1" t="s">
        <v>94</v>
      </c>
      <c r="E69" s="1">
        <v>5353.86</v>
      </c>
      <c r="F69">
        <f t="shared" si="17"/>
        <v>0.0619676509926799</v>
      </c>
      <c r="G69" s="1" t="s">
        <v>94</v>
      </c>
      <c r="H69" s="1">
        <v>5678.166</v>
      </c>
      <c r="I69">
        <f t="shared" si="18"/>
        <v>0.046255370239751</v>
      </c>
      <c r="J69" s="1" t="s">
        <v>94</v>
      </c>
      <c r="K69" s="1">
        <v>209.029</v>
      </c>
      <c r="L69">
        <f t="shared" si="19"/>
        <v>0.015892378948187</v>
      </c>
      <c r="M69" s="1" t="s">
        <v>94</v>
      </c>
      <c r="N69" s="1">
        <v>182.705</v>
      </c>
      <c r="O69">
        <f t="shared" si="20"/>
        <v>0.00751062902896733</v>
      </c>
      <c r="P69">
        <f t="shared" si="13"/>
        <v>0.0386102019964467</v>
      </c>
      <c r="Q69">
        <f t="shared" si="14"/>
        <v>1.03861020199645</v>
      </c>
      <c r="S69">
        <f t="shared" si="15"/>
        <v>1.06142498077265</v>
      </c>
    </row>
    <row r="70" spans="1:19">
      <c r="A70" s="1" t="s">
        <v>95</v>
      </c>
      <c r="B70" s="1">
        <v>3867.023</v>
      </c>
      <c r="C70">
        <f t="shared" si="16"/>
        <v>-0.0116429657486613</v>
      </c>
      <c r="D70" s="1" t="s">
        <v>95</v>
      </c>
      <c r="E70" s="1">
        <v>5406.34</v>
      </c>
      <c r="F70">
        <f t="shared" si="17"/>
        <v>0.00980227349986747</v>
      </c>
      <c r="G70" s="1" t="s">
        <v>95</v>
      </c>
      <c r="H70" s="1">
        <v>5816.4</v>
      </c>
      <c r="I70">
        <f t="shared" si="18"/>
        <v>0.0243448324687935</v>
      </c>
      <c r="J70" s="1" t="s">
        <v>95</v>
      </c>
      <c r="K70" s="1">
        <v>206.758</v>
      </c>
      <c r="L70">
        <f t="shared" si="19"/>
        <v>-0.0108645211908395</v>
      </c>
      <c r="M70" s="1" t="s">
        <v>95</v>
      </c>
      <c r="N70" s="1">
        <v>182.686</v>
      </c>
      <c r="O70">
        <f t="shared" si="20"/>
        <v>-0.000103992775238803</v>
      </c>
      <c r="P70">
        <f t="shared" si="13"/>
        <v>0.00230712525078428</v>
      </c>
      <c r="Q70">
        <f t="shared" si="14"/>
        <v>1.00230712525078</v>
      </c>
      <c r="S70">
        <f t="shared" si="15"/>
        <v>0.988357034251339</v>
      </c>
    </row>
    <row r="71" spans="1:19">
      <c r="A71" s="1" t="s">
        <v>96</v>
      </c>
      <c r="B71" s="1">
        <v>4163.964</v>
      </c>
      <c r="C71">
        <f t="shared" si="16"/>
        <v>0.0767880097946146</v>
      </c>
      <c r="D71" s="1" t="s">
        <v>96</v>
      </c>
      <c r="E71" s="1">
        <v>5864.416</v>
      </c>
      <c r="F71">
        <f t="shared" si="17"/>
        <v>0.0847294102849617</v>
      </c>
      <c r="G71" s="1" t="s">
        <v>96</v>
      </c>
      <c r="H71" s="1">
        <v>6319.556</v>
      </c>
      <c r="I71">
        <f t="shared" si="18"/>
        <v>0.0865064300942164</v>
      </c>
      <c r="J71" s="1" t="s">
        <v>96</v>
      </c>
      <c r="K71" s="1">
        <v>204.96</v>
      </c>
      <c r="L71">
        <f t="shared" si="19"/>
        <v>-0.00869615685971039</v>
      </c>
      <c r="M71" s="1" t="s">
        <v>96</v>
      </c>
      <c r="N71" s="1">
        <v>182.429</v>
      </c>
      <c r="O71">
        <f t="shared" si="20"/>
        <v>-0.00140678541322272</v>
      </c>
      <c r="P71">
        <f t="shared" ref="P71:P102" si="21">AVERAGE(F71,C71,I71,L71,O71)</f>
        <v>0.0475841815801719</v>
      </c>
      <c r="Q71">
        <f t="shared" ref="Q71:Q102" si="22">P71+1</f>
        <v>1.04758418158017</v>
      </c>
      <c r="S71">
        <f t="shared" ref="S71:S102" si="23">C71+1</f>
        <v>1.07678800979461</v>
      </c>
    </row>
    <row r="72" spans="1:19">
      <c r="A72" s="1" t="s">
        <v>97</v>
      </c>
      <c r="B72" s="1">
        <v>4695.046</v>
      </c>
      <c r="C72">
        <f t="shared" si="16"/>
        <v>0.127542409108244</v>
      </c>
      <c r="D72" s="1" t="s">
        <v>97</v>
      </c>
      <c r="E72" s="1">
        <v>6579.67</v>
      </c>
      <c r="F72">
        <f t="shared" si="17"/>
        <v>0.121965085696513</v>
      </c>
      <c r="G72" s="1" t="s">
        <v>97</v>
      </c>
      <c r="H72" s="1">
        <v>7141.592</v>
      </c>
      <c r="I72">
        <f t="shared" si="18"/>
        <v>0.130078125741745</v>
      </c>
      <c r="J72" s="1" t="s">
        <v>97</v>
      </c>
      <c r="K72" s="1">
        <v>204.163</v>
      </c>
      <c r="L72">
        <f t="shared" si="19"/>
        <v>-0.00388856362217017</v>
      </c>
      <c r="M72" s="1" t="s">
        <v>97</v>
      </c>
      <c r="N72" s="1">
        <v>182.548</v>
      </c>
      <c r="O72">
        <f t="shared" si="20"/>
        <v>0.00065230856936123</v>
      </c>
      <c r="P72">
        <f t="shared" si="21"/>
        <v>0.0752698730987386</v>
      </c>
      <c r="Q72">
        <f t="shared" si="22"/>
        <v>1.07526987309874</v>
      </c>
      <c r="S72">
        <f t="shared" si="23"/>
        <v>1.12754240910824</v>
      </c>
    </row>
    <row r="73" spans="1:19">
      <c r="A73" s="1" t="s">
        <v>98</v>
      </c>
      <c r="B73" s="1">
        <v>4816.215</v>
      </c>
      <c r="C73">
        <f t="shared" si="16"/>
        <v>0.0258078408603451</v>
      </c>
      <c r="D73" s="1" t="s">
        <v>98</v>
      </c>
      <c r="E73" s="1">
        <v>6668.433</v>
      </c>
      <c r="F73">
        <f t="shared" si="17"/>
        <v>0.0134904942041166</v>
      </c>
      <c r="G73" s="1" t="s">
        <v>98</v>
      </c>
      <c r="H73" s="1">
        <v>7224.046</v>
      </c>
      <c r="I73">
        <f t="shared" si="18"/>
        <v>0.0115456049575502</v>
      </c>
      <c r="J73" s="1" t="s">
        <v>98</v>
      </c>
      <c r="K73" s="1">
        <v>203.418</v>
      </c>
      <c r="L73">
        <f t="shared" si="19"/>
        <v>-0.0036490451257084</v>
      </c>
      <c r="M73" s="1" t="s">
        <v>98</v>
      </c>
      <c r="N73" s="1">
        <v>182.626</v>
      </c>
      <c r="O73">
        <f t="shared" si="20"/>
        <v>0.000427284878497726</v>
      </c>
      <c r="P73">
        <f t="shared" si="21"/>
        <v>0.00952443595496024</v>
      </c>
      <c r="Q73">
        <f t="shared" si="22"/>
        <v>1.00952443595496</v>
      </c>
      <c r="S73">
        <f t="shared" si="23"/>
        <v>1.02580784086035</v>
      </c>
    </row>
    <row r="74" spans="1:19">
      <c r="A74" s="1" t="s">
        <v>99</v>
      </c>
      <c r="B74" s="1">
        <v>4587.395</v>
      </c>
      <c r="C74">
        <f t="shared" si="16"/>
        <v>-0.0475103374745521</v>
      </c>
      <c r="D74" s="1" t="s">
        <v>99</v>
      </c>
      <c r="E74" s="1">
        <v>6192.505</v>
      </c>
      <c r="F74">
        <f t="shared" si="17"/>
        <v>-0.0713702904415475</v>
      </c>
      <c r="G74" s="1" t="s">
        <v>99</v>
      </c>
      <c r="H74" s="1">
        <v>6617.159</v>
      </c>
      <c r="I74">
        <f t="shared" si="18"/>
        <v>-0.0840092934070465</v>
      </c>
      <c r="J74" s="1" t="s">
        <v>99</v>
      </c>
      <c r="K74" s="1">
        <v>203.362</v>
      </c>
      <c r="L74">
        <f t="shared" si="19"/>
        <v>-0.000275295204947505</v>
      </c>
      <c r="M74" s="1" t="s">
        <v>99</v>
      </c>
      <c r="N74" s="1">
        <v>183.044</v>
      </c>
      <c r="O74">
        <f t="shared" si="20"/>
        <v>0.00228883072508847</v>
      </c>
      <c r="P74">
        <f t="shared" si="21"/>
        <v>-0.040175277160601</v>
      </c>
      <c r="Q74">
        <f t="shared" si="22"/>
        <v>0.959824722839399</v>
      </c>
      <c r="S74">
        <f t="shared" si="23"/>
        <v>0.952489662525448</v>
      </c>
    </row>
    <row r="75" spans="1:19">
      <c r="A75" s="1" t="s">
        <v>100</v>
      </c>
      <c r="B75" s="1">
        <v>4695.334</v>
      </c>
      <c r="C75">
        <f t="shared" si="16"/>
        <v>0.0235294758790118</v>
      </c>
      <c r="D75" s="1" t="s">
        <v>100</v>
      </c>
      <c r="E75" s="1">
        <v>6111.48</v>
      </c>
      <c r="F75">
        <f t="shared" si="17"/>
        <v>-0.0130843656969192</v>
      </c>
      <c r="G75" s="1" t="s">
        <v>100</v>
      </c>
      <c r="H75" s="1">
        <v>6511.158</v>
      </c>
      <c r="I75">
        <f t="shared" si="18"/>
        <v>-0.0160191103160736</v>
      </c>
      <c r="J75" s="1" t="s">
        <v>100</v>
      </c>
      <c r="K75" s="1">
        <v>203.997</v>
      </c>
      <c r="L75">
        <f t="shared" si="19"/>
        <v>0.00312251059686677</v>
      </c>
      <c r="M75" s="1" t="s">
        <v>100</v>
      </c>
      <c r="N75" s="1">
        <v>182.999</v>
      </c>
      <c r="O75">
        <f t="shared" si="20"/>
        <v>-0.000245842529665086</v>
      </c>
      <c r="P75">
        <f t="shared" si="21"/>
        <v>-0.000539466413355859</v>
      </c>
      <c r="Q75">
        <f t="shared" si="22"/>
        <v>0.999460533586644</v>
      </c>
      <c r="S75">
        <f t="shared" si="23"/>
        <v>1.02352947587901</v>
      </c>
    </row>
    <row r="76" spans="1:19">
      <c r="A76" s="1" t="s">
        <v>101</v>
      </c>
      <c r="B76" s="1">
        <v>4960.252</v>
      </c>
      <c r="C76">
        <f t="shared" si="16"/>
        <v>0.0564215453043384</v>
      </c>
      <c r="D76" s="1" t="s">
        <v>101</v>
      </c>
      <c r="E76" s="1">
        <v>6320.944</v>
      </c>
      <c r="F76">
        <f t="shared" si="17"/>
        <v>0.0342738583780035</v>
      </c>
      <c r="G76" s="1" t="s">
        <v>101</v>
      </c>
      <c r="H76" s="1">
        <v>6622.359</v>
      </c>
      <c r="I76">
        <f t="shared" si="18"/>
        <v>0.0170785288884097</v>
      </c>
      <c r="J76" s="1" t="s">
        <v>101</v>
      </c>
      <c r="K76" s="1">
        <v>204.35</v>
      </c>
      <c r="L76">
        <f t="shared" si="19"/>
        <v>0.00173041760418036</v>
      </c>
      <c r="M76" s="1" t="s">
        <v>101</v>
      </c>
      <c r="N76" s="1">
        <v>183.114</v>
      </c>
      <c r="O76">
        <f t="shared" si="20"/>
        <v>0.000628418734528654</v>
      </c>
      <c r="P76">
        <f t="shared" si="21"/>
        <v>0.0220265537818921</v>
      </c>
      <c r="Q76">
        <f t="shared" si="22"/>
        <v>1.02202655378189</v>
      </c>
      <c r="S76">
        <f t="shared" si="23"/>
        <v>1.05642154530434</v>
      </c>
    </row>
    <row r="77" spans="1:19">
      <c r="A77" s="1" t="s">
        <v>102</v>
      </c>
      <c r="B77" s="1">
        <v>5211.288</v>
      </c>
      <c r="C77">
        <f t="shared" si="16"/>
        <v>0.0506095254837857</v>
      </c>
      <c r="D77" s="1" t="s">
        <v>102</v>
      </c>
      <c r="E77" s="1">
        <v>6367.115</v>
      </c>
      <c r="F77">
        <f t="shared" si="17"/>
        <v>0.00730444693071151</v>
      </c>
      <c r="G77" s="1" t="s">
        <v>102</v>
      </c>
      <c r="H77" s="1">
        <v>6646.474</v>
      </c>
      <c r="I77">
        <f t="shared" si="18"/>
        <v>0.00364145163377579</v>
      </c>
      <c r="J77" s="1" t="s">
        <v>102</v>
      </c>
      <c r="K77" s="1">
        <v>206.016</v>
      </c>
      <c r="L77">
        <f t="shared" si="19"/>
        <v>0.00815267922681672</v>
      </c>
      <c r="M77" s="1" t="s">
        <v>102</v>
      </c>
      <c r="N77" s="1">
        <v>183.778</v>
      </c>
      <c r="O77">
        <f t="shared" si="20"/>
        <v>0.00362615638345505</v>
      </c>
      <c r="P77">
        <f t="shared" si="21"/>
        <v>0.014666851931709</v>
      </c>
      <c r="Q77">
        <f t="shared" si="22"/>
        <v>1.01466685193171</v>
      </c>
      <c r="S77">
        <f t="shared" si="23"/>
        <v>1.05060952548379</v>
      </c>
    </row>
    <row r="78" spans="1:19">
      <c r="A78" s="1" t="s">
        <v>103</v>
      </c>
      <c r="B78" s="1">
        <v>5351.965</v>
      </c>
      <c r="C78">
        <f t="shared" si="16"/>
        <v>0.0269946700316698</v>
      </c>
      <c r="D78" s="1" t="s">
        <v>103</v>
      </c>
      <c r="E78" s="1">
        <v>6346.137</v>
      </c>
      <c r="F78">
        <f t="shared" si="17"/>
        <v>-0.00329474181006626</v>
      </c>
      <c r="G78" s="1" t="s">
        <v>103</v>
      </c>
      <c r="H78" s="1">
        <v>6304.118</v>
      </c>
      <c r="I78">
        <f t="shared" si="18"/>
        <v>-0.0515094168727659</v>
      </c>
      <c r="J78" s="1" t="s">
        <v>103</v>
      </c>
      <c r="K78" s="1">
        <v>206.616</v>
      </c>
      <c r="L78">
        <f t="shared" si="19"/>
        <v>0.00291239515377457</v>
      </c>
      <c r="M78" s="1" t="s">
        <v>103</v>
      </c>
      <c r="N78" s="1">
        <v>184.393</v>
      </c>
      <c r="O78">
        <f t="shared" si="20"/>
        <v>0.00334642884349601</v>
      </c>
      <c r="P78">
        <f t="shared" si="21"/>
        <v>-0.00431013293077835</v>
      </c>
      <c r="Q78">
        <f t="shared" si="22"/>
        <v>0.995689867069222</v>
      </c>
      <c r="S78">
        <f t="shared" si="23"/>
        <v>1.02699467003167</v>
      </c>
    </row>
    <row r="79" spans="1:19">
      <c r="A79" s="1" t="s">
        <v>104</v>
      </c>
      <c r="B79" s="1">
        <v>5336.761</v>
      </c>
      <c r="C79">
        <f t="shared" si="16"/>
        <v>-0.00284082575278421</v>
      </c>
      <c r="D79" s="1" t="s">
        <v>104</v>
      </c>
      <c r="E79" s="1">
        <v>6364.353</v>
      </c>
      <c r="F79">
        <f t="shared" si="17"/>
        <v>0.00287040761962755</v>
      </c>
      <c r="G79" s="1" t="s">
        <v>104</v>
      </c>
      <c r="H79" s="1">
        <v>6325.405</v>
      </c>
      <c r="I79">
        <f t="shared" si="18"/>
        <v>0.00337668171820378</v>
      </c>
      <c r="J79" s="1" t="s">
        <v>104</v>
      </c>
      <c r="K79" s="1">
        <v>206.641</v>
      </c>
      <c r="L79">
        <f t="shared" si="19"/>
        <v>0.000120997405815509</v>
      </c>
      <c r="M79" s="1" t="s">
        <v>104</v>
      </c>
      <c r="N79" s="1">
        <v>184.485</v>
      </c>
      <c r="O79">
        <f t="shared" si="20"/>
        <v>0.000498934341325392</v>
      </c>
      <c r="P79">
        <f t="shared" si="21"/>
        <v>0.000805239066437605</v>
      </c>
      <c r="Q79">
        <f t="shared" si="22"/>
        <v>1.00080523906644</v>
      </c>
      <c r="S79">
        <f t="shared" si="23"/>
        <v>0.997159174247216</v>
      </c>
    </row>
    <row r="80" spans="1:19">
      <c r="A80" s="1" t="s">
        <v>105</v>
      </c>
      <c r="B80" s="1">
        <v>5048.361</v>
      </c>
      <c r="C80">
        <f t="shared" si="16"/>
        <v>-0.0540402689946206</v>
      </c>
      <c r="D80" s="1" t="s">
        <v>105</v>
      </c>
      <c r="E80" s="1">
        <v>6254.07</v>
      </c>
      <c r="F80">
        <f t="shared" si="17"/>
        <v>-0.0173282343075565</v>
      </c>
      <c r="G80" s="1" t="s">
        <v>105</v>
      </c>
      <c r="H80" s="1">
        <v>6293.392</v>
      </c>
      <c r="I80">
        <f t="shared" si="18"/>
        <v>-0.0050610198082178</v>
      </c>
      <c r="J80" s="1" t="s">
        <v>105</v>
      </c>
      <c r="K80" s="1">
        <v>208.042</v>
      </c>
      <c r="L80">
        <f t="shared" si="19"/>
        <v>0.00677987427470836</v>
      </c>
      <c r="M80" s="1" t="s">
        <v>105</v>
      </c>
      <c r="N80" s="1">
        <v>185.26</v>
      </c>
      <c r="O80">
        <f t="shared" si="20"/>
        <v>0.00420088354066714</v>
      </c>
      <c r="P80">
        <f t="shared" si="21"/>
        <v>-0.0130897530590039</v>
      </c>
      <c r="Q80">
        <f t="shared" si="22"/>
        <v>0.986910246940996</v>
      </c>
      <c r="S80">
        <f t="shared" si="23"/>
        <v>0.945959731005379</v>
      </c>
    </row>
    <row r="81" spans="1:19">
      <c r="A81" s="1" t="s">
        <v>106</v>
      </c>
      <c r="B81" s="1">
        <v>5123.489</v>
      </c>
      <c r="C81">
        <f t="shared" si="16"/>
        <v>0.0148816615927426</v>
      </c>
      <c r="D81" s="1" t="s">
        <v>106</v>
      </c>
      <c r="E81" s="1">
        <v>6485.708</v>
      </c>
      <c r="F81">
        <f t="shared" si="17"/>
        <v>0.037037960879875</v>
      </c>
      <c r="G81" s="1" t="s">
        <v>106</v>
      </c>
      <c r="H81" s="1">
        <v>6382.136</v>
      </c>
      <c r="I81">
        <f t="shared" si="18"/>
        <v>0.0141011397351382</v>
      </c>
      <c r="J81" s="1" t="s">
        <v>106</v>
      </c>
      <c r="K81" s="1">
        <v>209.095</v>
      </c>
      <c r="L81">
        <f t="shared" si="19"/>
        <v>0.00506147797079435</v>
      </c>
      <c r="M81" s="1" t="s">
        <v>106</v>
      </c>
      <c r="N81" s="1">
        <v>185.916</v>
      </c>
      <c r="O81">
        <f t="shared" si="20"/>
        <v>0.0035409694483429</v>
      </c>
      <c r="P81">
        <f t="shared" si="21"/>
        <v>0.0149246419253786</v>
      </c>
      <c r="Q81">
        <f t="shared" si="22"/>
        <v>1.01492464192538</v>
      </c>
      <c r="S81">
        <f t="shared" si="23"/>
        <v>1.01488166159274</v>
      </c>
    </row>
    <row r="82" spans="1:19">
      <c r="A82" s="1" t="s">
        <v>107</v>
      </c>
      <c r="B82" s="1">
        <v>5331.57</v>
      </c>
      <c r="C82">
        <f t="shared" si="16"/>
        <v>0.0406131446754351</v>
      </c>
      <c r="D82" s="1" t="s">
        <v>107</v>
      </c>
      <c r="E82" s="1">
        <v>6728.991</v>
      </c>
      <c r="F82">
        <f t="shared" si="17"/>
        <v>0.037510631067572</v>
      </c>
      <c r="G82" s="1" t="s">
        <v>107</v>
      </c>
      <c r="H82" s="1">
        <v>6814.363</v>
      </c>
      <c r="I82">
        <f t="shared" si="18"/>
        <v>0.0677245047739503</v>
      </c>
      <c r="J82" s="1" t="s">
        <v>107</v>
      </c>
      <c r="K82" s="1">
        <v>210.401</v>
      </c>
      <c r="L82">
        <f t="shared" si="19"/>
        <v>0.00624596475286359</v>
      </c>
      <c r="M82" s="1" t="s">
        <v>107</v>
      </c>
      <c r="N82" s="1">
        <v>186.621</v>
      </c>
      <c r="O82">
        <f t="shared" si="20"/>
        <v>0.00379203511263158</v>
      </c>
      <c r="P82">
        <f t="shared" si="21"/>
        <v>0.0311772560764905</v>
      </c>
      <c r="Q82">
        <f t="shared" si="22"/>
        <v>1.03117725607649</v>
      </c>
      <c r="S82">
        <f t="shared" si="23"/>
        <v>1.04061314467543</v>
      </c>
    </row>
    <row r="83" spans="1:19">
      <c r="A83" s="1" t="s">
        <v>108</v>
      </c>
      <c r="B83" s="1">
        <v>5224.041</v>
      </c>
      <c r="C83">
        <f t="shared" si="16"/>
        <v>-0.0201683556625909</v>
      </c>
      <c r="D83" s="1" t="s">
        <v>108</v>
      </c>
      <c r="E83" s="1">
        <v>6808.183</v>
      </c>
      <c r="F83">
        <f t="shared" si="17"/>
        <v>0.0117687778152772</v>
      </c>
      <c r="G83" s="1" t="s">
        <v>108</v>
      </c>
      <c r="H83" s="1">
        <v>7083.7</v>
      </c>
      <c r="I83">
        <f t="shared" si="18"/>
        <v>0.0395248976316641</v>
      </c>
      <c r="J83" s="1" t="s">
        <v>108</v>
      </c>
      <c r="K83" s="1">
        <v>210.778</v>
      </c>
      <c r="L83">
        <f t="shared" si="19"/>
        <v>0.00179181657881845</v>
      </c>
      <c r="M83" s="1" t="s">
        <v>108</v>
      </c>
      <c r="N83" s="1">
        <v>186.856</v>
      </c>
      <c r="O83">
        <f t="shared" si="20"/>
        <v>0.00125923663467662</v>
      </c>
      <c r="P83">
        <f t="shared" si="21"/>
        <v>0.00683527459956911</v>
      </c>
      <c r="Q83">
        <f t="shared" si="22"/>
        <v>1.00683527459957</v>
      </c>
      <c r="S83">
        <f t="shared" si="23"/>
        <v>0.979831644337409</v>
      </c>
    </row>
    <row r="84" spans="1:19">
      <c r="A84" s="1" t="s">
        <v>109</v>
      </c>
      <c r="B84" s="1">
        <v>4811.17</v>
      </c>
      <c r="C84">
        <f t="shared" si="16"/>
        <v>-0.0790328789532854</v>
      </c>
      <c r="D84" s="1" t="s">
        <v>109</v>
      </c>
      <c r="E84" s="1">
        <v>6767.316</v>
      </c>
      <c r="F84">
        <f t="shared" si="17"/>
        <v>-0.00600262948278567</v>
      </c>
      <c r="G84" s="1" t="s">
        <v>109</v>
      </c>
      <c r="H84" s="1">
        <v>7262.383</v>
      </c>
      <c r="I84">
        <f t="shared" si="18"/>
        <v>0.0252245295537643</v>
      </c>
      <c r="J84" s="1" t="s">
        <v>109</v>
      </c>
      <c r="K84" s="1">
        <v>213.816</v>
      </c>
      <c r="L84">
        <f t="shared" si="19"/>
        <v>0.0144132689369859</v>
      </c>
      <c r="M84" s="1" t="s">
        <v>109</v>
      </c>
      <c r="N84" s="1">
        <v>188.211</v>
      </c>
      <c r="O84">
        <f t="shared" si="20"/>
        <v>0.00725157340411878</v>
      </c>
      <c r="P84">
        <f t="shared" si="21"/>
        <v>-0.00762922730824043</v>
      </c>
      <c r="Q84">
        <f t="shared" si="22"/>
        <v>0.99237077269176</v>
      </c>
      <c r="S84">
        <f t="shared" si="23"/>
        <v>0.920967121046715</v>
      </c>
    </row>
    <row r="85" spans="1:19">
      <c r="A85" s="1" t="s">
        <v>110</v>
      </c>
      <c r="B85" s="1">
        <v>4805.61</v>
      </c>
      <c r="C85">
        <f t="shared" si="16"/>
        <v>-0.00115564405331768</v>
      </c>
      <c r="D85" s="1" t="s">
        <v>110</v>
      </c>
      <c r="E85" s="1">
        <v>7255.342</v>
      </c>
      <c r="F85">
        <f t="shared" si="17"/>
        <v>0.0721151487532132</v>
      </c>
      <c r="G85" s="1" t="s">
        <v>110</v>
      </c>
      <c r="H85" s="1">
        <v>7728.422</v>
      </c>
      <c r="I85">
        <f t="shared" si="18"/>
        <v>0.0641716362246386</v>
      </c>
      <c r="J85" s="1" t="s">
        <v>110</v>
      </c>
      <c r="K85" s="1">
        <v>214.508</v>
      </c>
      <c r="L85">
        <f t="shared" si="19"/>
        <v>0.00323642758259441</v>
      </c>
      <c r="M85" s="1" t="s">
        <v>110</v>
      </c>
      <c r="N85" s="1">
        <v>189.112</v>
      </c>
      <c r="O85">
        <f t="shared" si="20"/>
        <v>0.00478718034546324</v>
      </c>
      <c r="P85">
        <f t="shared" si="21"/>
        <v>0.0286309497705184</v>
      </c>
      <c r="Q85">
        <f t="shared" si="22"/>
        <v>1.02863094977052</v>
      </c>
      <c r="S85">
        <f t="shared" si="23"/>
        <v>0.998844355946682</v>
      </c>
    </row>
    <row r="86" spans="1:19">
      <c r="A86" s="1" t="s">
        <v>111</v>
      </c>
      <c r="B86" s="1">
        <v>4866.383</v>
      </c>
      <c r="C86">
        <f t="shared" si="16"/>
        <v>0.0126462613487154</v>
      </c>
      <c r="D86" s="1" t="s">
        <v>111</v>
      </c>
      <c r="E86" s="1">
        <v>7103.608</v>
      </c>
      <c r="F86">
        <f t="shared" si="17"/>
        <v>-0.0209134180029004</v>
      </c>
      <c r="G86" s="1" t="s">
        <v>111</v>
      </c>
      <c r="H86" s="1">
        <v>7405.462</v>
      </c>
      <c r="I86">
        <f t="shared" si="18"/>
        <v>-0.0417886083342756</v>
      </c>
      <c r="J86" s="1" t="s">
        <v>111</v>
      </c>
      <c r="K86" s="1">
        <v>214.712</v>
      </c>
      <c r="L86">
        <f t="shared" si="19"/>
        <v>0.00095101348201456</v>
      </c>
      <c r="M86" s="1" t="s">
        <v>111</v>
      </c>
      <c r="N86" s="1">
        <v>189.61</v>
      </c>
      <c r="O86">
        <f t="shared" si="20"/>
        <v>0.0026333601252169</v>
      </c>
      <c r="P86">
        <f t="shared" si="21"/>
        <v>-0.00929427827624584</v>
      </c>
      <c r="Q86">
        <f t="shared" si="22"/>
        <v>0.990705721723754</v>
      </c>
      <c r="S86">
        <f t="shared" si="23"/>
        <v>1.01264626134872</v>
      </c>
    </row>
    <row r="87" spans="1:19">
      <c r="A87" s="1" t="s">
        <v>112</v>
      </c>
      <c r="B87" s="1">
        <v>4908.77</v>
      </c>
      <c r="C87">
        <f t="shared" si="16"/>
        <v>0.00871016522949399</v>
      </c>
      <c r="D87" s="1" t="s">
        <v>112</v>
      </c>
      <c r="E87" s="1">
        <v>7022.499</v>
      </c>
      <c r="F87">
        <f t="shared" si="17"/>
        <v>-0.0114180005428228</v>
      </c>
      <c r="G87" s="1" t="s">
        <v>112</v>
      </c>
      <c r="H87" s="1">
        <v>7385.305</v>
      </c>
      <c r="I87">
        <f t="shared" si="18"/>
        <v>-0.00272190985518529</v>
      </c>
      <c r="J87" s="1" t="s">
        <v>112</v>
      </c>
      <c r="K87" s="1">
        <v>214.509</v>
      </c>
      <c r="L87">
        <f t="shared" si="19"/>
        <v>-0.000945452513133886</v>
      </c>
      <c r="M87" s="1" t="s">
        <v>112</v>
      </c>
      <c r="N87" s="1">
        <v>189.787</v>
      </c>
      <c r="O87">
        <f t="shared" si="20"/>
        <v>0.000933495068825444</v>
      </c>
      <c r="P87">
        <f t="shared" si="21"/>
        <v>-0.00108834052256451</v>
      </c>
      <c r="Q87">
        <f t="shared" si="22"/>
        <v>0.998911659477436</v>
      </c>
      <c r="S87">
        <f t="shared" si="23"/>
        <v>1.00871016522949</v>
      </c>
    </row>
    <row r="88" spans="1:19">
      <c r="A88" s="1" t="s">
        <v>113</v>
      </c>
      <c r="B88" s="1">
        <v>4832.026</v>
      </c>
      <c r="C88">
        <f t="shared" si="16"/>
        <v>-0.0156340590412671</v>
      </c>
      <c r="D88" s="1" t="s">
        <v>113</v>
      </c>
      <c r="E88" s="1">
        <v>7252.755</v>
      </c>
      <c r="F88">
        <f t="shared" si="17"/>
        <v>0.0327883279157463</v>
      </c>
      <c r="G88" s="1" t="s">
        <v>113</v>
      </c>
      <c r="H88" s="1">
        <v>8054.29</v>
      </c>
      <c r="I88">
        <f t="shared" si="18"/>
        <v>0.0905832595945597</v>
      </c>
      <c r="J88" s="1" t="s">
        <v>113</v>
      </c>
      <c r="K88" s="1">
        <v>216.204</v>
      </c>
      <c r="L88">
        <f t="shared" si="19"/>
        <v>0.00790176635945355</v>
      </c>
      <c r="M88" s="1" t="s">
        <v>113</v>
      </c>
      <c r="N88" s="1">
        <v>190.783</v>
      </c>
      <c r="O88">
        <f t="shared" si="20"/>
        <v>0.00524798853451491</v>
      </c>
      <c r="P88">
        <f t="shared" si="21"/>
        <v>0.0241774566726015</v>
      </c>
      <c r="Q88">
        <f t="shared" si="22"/>
        <v>1.0241774566726</v>
      </c>
      <c r="S88">
        <f t="shared" si="23"/>
        <v>0.984365940958733</v>
      </c>
    </row>
    <row r="89" spans="1:19">
      <c r="A89" s="1" t="s">
        <v>114</v>
      </c>
      <c r="B89" s="1">
        <v>4940.373</v>
      </c>
      <c r="C89">
        <f t="shared" si="16"/>
        <v>0.0224226856395226</v>
      </c>
      <c r="D89" s="1" t="s">
        <v>114</v>
      </c>
      <c r="E89" s="1">
        <v>7359.402</v>
      </c>
      <c r="F89">
        <f t="shared" si="17"/>
        <v>0.0147043433839968</v>
      </c>
      <c r="G89" s="1" t="s">
        <v>114</v>
      </c>
      <c r="H89" s="1">
        <v>8010.324</v>
      </c>
      <c r="I89">
        <f t="shared" si="18"/>
        <v>-0.00545870585737543</v>
      </c>
      <c r="J89" s="1" t="s">
        <v>114</v>
      </c>
      <c r="K89" s="1">
        <v>217.649</v>
      </c>
      <c r="L89">
        <f t="shared" si="19"/>
        <v>0.00668350261789788</v>
      </c>
      <c r="M89" s="1" t="s">
        <v>114</v>
      </c>
      <c r="N89" s="1">
        <v>191.567</v>
      </c>
      <c r="O89">
        <f t="shared" si="20"/>
        <v>0.00410938081485258</v>
      </c>
      <c r="P89">
        <f t="shared" si="21"/>
        <v>0.00849224131977889</v>
      </c>
      <c r="Q89">
        <f t="shared" si="22"/>
        <v>1.00849224131978</v>
      </c>
      <c r="S89">
        <f t="shared" si="23"/>
        <v>1.02242268563952</v>
      </c>
    </row>
    <row r="90" spans="1:19">
      <c r="A90" s="1" t="s">
        <v>115</v>
      </c>
      <c r="B90" s="1">
        <v>4563.772</v>
      </c>
      <c r="C90">
        <f t="shared" si="16"/>
        <v>-0.0762292644705166</v>
      </c>
      <c r="D90" s="1" t="s">
        <v>115</v>
      </c>
      <c r="E90" s="1">
        <v>6580.53</v>
      </c>
      <c r="F90">
        <f t="shared" si="17"/>
        <v>-0.105833598979917</v>
      </c>
      <c r="G90" s="1" t="s">
        <v>115</v>
      </c>
      <c r="H90" s="1">
        <v>6973.01</v>
      </c>
      <c r="I90">
        <f t="shared" si="18"/>
        <v>-0.129497133948639</v>
      </c>
      <c r="J90" s="1" t="s">
        <v>115</v>
      </c>
      <c r="K90" s="1">
        <v>219.731</v>
      </c>
      <c r="L90">
        <f t="shared" si="19"/>
        <v>0.00956586062881058</v>
      </c>
      <c r="M90" s="1" t="s">
        <v>115</v>
      </c>
      <c r="N90" s="1">
        <v>192.659</v>
      </c>
      <c r="O90">
        <f t="shared" si="20"/>
        <v>0.00570035548920213</v>
      </c>
      <c r="P90">
        <f t="shared" si="21"/>
        <v>-0.0592587562562121</v>
      </c>
      <c r="Q90">
        <f t="shared" si="22"/>
        <v>0.940741243743788</v>
      </c>
      <c r="S90">
        <f t="shared" si="23"/>
        <v>0.923770735529483</v>
      </c>
    </row>
    <row r="91" spans="1:19">
      <c r="A91" s="1" t="s">
        <v>116</v>
      </c>
      <c r="B91" s="1">
        <v>4581.646</v>
      </c>
      <c r="C91">
        <f t="shared" si="16"/>
        <v>0.00391649714315259</v>
      </c>
      <c r="D91" s="1" t="s">
        <v>116</v>
      </c>
      <c r="E91" s="1">
        <v>6853.308</v>
      </c>
      <c r="F91">
        <f t="shared" si="17"/>
        <v>0.0414522842385036</v>
      </c>
      <c r="G91" s="1" t="s">
        <v>116</v>
      </c>
      <c r="H91" s="1">
        <v>7419.831</v>
      </c>
      <c r="I91">
        <f t="shared" si="18"/>
        <v>0.0640786403576074</v>
      </c>
      <c r="J91" s="1" t="s">
        <v>116</v>
      </c>
      <c r="K91" s="1">
        <v>219.17</v>
      </c>
      <c r="L91">
        <f t="shared" si="19"/>
        <v>-0.00255312177162079</v>
      </c>
      <c r="M91" s="1" t="s">
        <v>116</v>
      </c>
      <c r="N91" s="1">
        <v>193.033</v>
      </c>
      <c r="O91">
        <f t="shared" si="20"/>
        <v>0.00194125371770847</v>
      </c>
      <c r="P91">
        <f t="shared" si="21"/>
        <v>0.0217671107370703</v>
      </c>
      <c r="Q91">
        <f t="shared" si="22"/>
        <v>1.02176711073707</v>
      </c>
      <c r="S91">
        <f t="shared" si="23"/>
        <v>1.00391649714315</v>
      </c>
    </row>
    <row r="92" spans="1:19">
      <c r="A92" s="1" t="s">
        <v>117</v>
      </c>
      <c r="B92" s="1">
        <v>4222.597</v>
      </c>
      <c r="C92">
        <f t="shared" ref="C92:C123" si="24">(B92-B91)/B91</f>
        <v>-0.0783668140227333</v>
      </c>
      <c r="D92" s="1" t="s">
        <v>117</v>
      </c>
      <c r="E92" s="1">
        <v>6324.961</v>
      </c>
      <c r="F92">
        <f t="shared" ref="F92:F123" si="25">(E92-E91)/E91</f>
        <v>-0.0770937188289217</v>
      </c>
      <c r="G92" s="1" t="s">
        <v>117</v>
      </c>
      <c r="H92" s="1">
        <v>6772.065</v>
      </c>
      <c r="I92">
        <f t="shared" ref="I92:I123" si="26">(H92-H91)/H91</f>
        <v>-0.087301988414561</v>
      </c>
      <c r="J92" s="1" t="s">
        <v>117</v>
      </c>
      <c r="K92" s="1">
        <v>219.353</v>
      </c>
      <c r="L92">
        <f t="shared" ref="L92:L123" si="27">(K92-K91)/K91</f>
        <v>0.00083496828945577</v>
      </c>
      <c r="M92" s="1" t="s">
        <v>117</v>
      </c>
      <c r="N92" s="1">
        <v>193.373</v>
      </c>
      <c r="O92">
        <f t="shared" ref="O92:O123" si="28">(N92-N91)/N91</f>
        <v>0.00176135686644254</v>
      </c>
      <c r="P92">
        <f t="shared" si="21"/>
        <v>-0.0480332392220635</v>
      </c>
      <c r="Q92">
        <f t="shared" si="22"/>
        <v>0.951966760777937</v>
      </c>
      <c r="S92">
        <f t="shared" si="23"/>
        <v>0.921633185977267</v>
      </c>
    </row>
    <row r="93" spans="1:19">
      <c r="A93" s="1" t="s">
        <v>118</v>
      </c>
      <c r="B93" s="1">
        <v>4016.241</v>
      </c>
      <c r="C93">
        <f t="shared" si="24"/>
        <v>-0.0488694516668296</v>
      </c>
      <c r="D93" s="1" t="s">
        <v>118</v>
      </c>
      <c r="E93" s="1">
        <v>5627.902</v>
      </c>
      <c r="F93">
        <f t="shared" si="25"/>
        <v>-0.110207636062894</v>
      </c>
      <c r="G93" s="1" t="s">
        <v>118</v>
      </c>
      <c r="H93" s="1">
        <v>5734.493</v>
      </c>
      <c r="I93">
        <f t="shared" si="26"/>
        <v>-0.153213532356822</v>
      </c>
      <c r="J93" s="1" t="s">
        <v>118</v>
      </c>
      <c r="K93" s="1">
        <v>220.393</v>
      </c>
      <c r="L93">
        <f t="shared" si="27"/>
        <v>0.00474121621313587</v>
      </c>
      <c r="M93" s="1" t="s">
        <v>118</v>
      </c>
      <c r="N93" s="1">
        <v>194.213</v>
      </c>
      <c r="O93">
        <f t="shared" si="28"/>
        <v>0.00434393633030466</v>
      </c>
      <c r="P93">
        <f t="shared" si="21"/>
        <v>-0.060641093508621</v>
      </c>
      <c r="Q93">
        <f t="shared" si="22"/>
        <v>0.939358906491379</v>
      </c>
      <c r="S93">
        <f t="shared" si="23"/>
        <v>0.95113054833317</v>
      </c>
    </row>
    <row r="94" spans="1:19">
      <c r="A94" s="1" t="s">
        <v>119</v>
      </c>
      <c r="B94" s="1">
        <v>4091.518</v>
      </c>
      <c r="C94">
        <f t="shared" si="24"/>
        <v>0.0187431481327938</v>
      </c>
      <c r="D94" s="1" t="s">
        <v>119</v>
      </c>
      <c r="E94" s="1">
        <v>6026.237</v>
      </c>
      <c r="F94">
        <f t="shared" si="25"/>
        <v>0.0707785956471879</v>
      </c>
      <c r="G94" s="1" t="s">
        <v>119</v>
      </c>
      <c r="H94" s="1">
        <v>6353.347</v>
      </c>
      <c r="I94">
        <f t="shared" si="26"/>
        <v>0.107917822900821</v>
      </c>
      <c r="J94" s="1" t="s">
        <v>119</v>
      </c>
      <c r="K94" s="1">
        <v>221.846</v>
      </c>
      <c r="L94">
        <f t="shared" si="27"/>
        <v>0.00659276837286122</v>
      </c>
      <c r="M94" s="1" t="s">
        <v>119</v>
      </c>
      <c r="N94" s="1">
        <v>195.083</v>
      </c>
      <c r="O94">
        <f t="shared" si="28"/>
        <v>0.00447961773928627</v>
      </c>
      <c r="P94">
        <f t="shared" si="21"/>
        <v>0.0417023905585901</v>
      </c>
      <c r="Q94">
        <f t="shared" si="22"/>
        <v>1.04170239055859</v>
      </c>
      <c r="S94">
        <f t="shared" si="23"/>
        <v>1.01874314813279</v>
      </c>
    </row>
    <row r="95" spans="1:19">
      <c r="A95" s="1" t="s">
        <v>120</v>
      </c>
      <c r="B95" s="1">
        <v>4485.011</v>
      </c>
      <c r="C95">
        <f t="shared" si="24"/>
        <v>0.0961728629814168</v>
      </c>
      <c r="D95" s="1" t="s">
        <v>120</v>
      </c>
      <c r="E95" s="1">
        <v>6454.078</v>
      </c>
      <c r="F95">
        <f t="shared" si="25"/>
        <v>0.070996378005047</v>
      </c>
      <c r="G95" s="1" t="s">
        <v>120</v>
      </c>
      <c r="H95" s="1">
        <v>6995.53</v>
      </c>
      <c r="I95">
        <f t="shared" si="26"/>
        <v>0.101077904292021</v>
      </c>
      <c r="J95" s="1" t="s">
        <v>120</v>
      </c>
      <c r="K95" s="1">
        <v>221.785</v>
      </c>
      <c r="L95">
        <f t="shared" si="27"/>
        <v>-0.000274965516619669</v>
      </c>
      <c r="M95" s="1" t="s">
        <v>120</v>
      </c>
      <c r="N95" s="1">
        <v>195.482</v>
      </c>
      <c r="O95">
        <f t="shared" si="28"/>
        <v>0.00204528328967671</v>
      </c>
      <c r="P95">
        <f t="shared" si="21"/>
        <v>0.0540034926103084</v>
      </c>
      <c r="Q95">
        <f t="shared" si="22"/>
        <v>1.05400349261031</v>
      </c>
      <c r="S95">
        <f t="shared" si="23"/>
        <v>1.09617286298142</v>
      </c>
    </row>
    <row r="96" spans="1:19">
      <c r="A96" s="1" t="s">
        <v>121</v>
      </c>
      <c r="B96" s="1">
        <v>4170.102</v>
      </c>
      <c r="C96">
        <f t="shared" si="24"/>
        <v>-0.0702136516499069</v>
      </c>
      <c r="D96" s="1" t="s">
        <v>121</v>
      </c>
      <c r="E96" s="1">
        <v>6294.114</v>
      </c>
      <c r="F96">
        <f t="shared" si="25"/>
        <v>-0.0247849499184858</v>
      </c>
      <c r="G96" s="1" t="s">
        <v>121</v>
      </c>
      <c r="H96" s="1">
        <v>7117.434</v>
      </c>
      <c r="I96">
        <f t="shared" si="26"/>
        <v>0.0174259848789156</v>
      </c>
      <c r="J96" s="1" t="s">
        <v>121</v>
      </c>
      <c r="K96" s="1">
        <v>223.478</v>
      </c>
      <c r="L96">
        <f t="shared" si="27"/>
        <v>0.00763351894853129</v>
      </c>
      <c r="M96" s="1" t="s">
        <v>121</v>
      </c>
      <c r="N96" s="1">
        <v>196.158</v>
      </c>
      <c r="O96">
        <f t="shared" si="28"/>
        <v>0.00345811890608848</v>
      </c>
      <c r="P96">
        <f t="shared" si="21"/>
        <v>-0.0132961957669715</v>
      </c>
      <c r="Q96">
        <f t="shared" si="22"/>
        <v>0.986703804233029</v>
      </c>
      <c r="S96">
        <f t="shared" si="23"/>
        <v>0.929786348350093</v>
      </c>
    </row>
    <row r="97" spans="1:19">
      <c r="A97" s="1" t="s">
        <v>122</v>
      </c>
      <c r="B97" s="1">
        <v>4078.84</v>
      </c>
      <c r="C97">
        <f t="shared" si="24"/>
        <v>-0.021884836390093</v>
      </c>
      <c r="D97" s="1" t="s">
        <v>122</v>
      </c>
      <c r="E97" s="1">
        <v>6155.746</v>
      </c>
      <c r="F97">
        <f t="shared" si="25"/>
        <v>-0.021983713672806</v>
      </c>
      <c r="G97" s="1" t="s">
        <v>122</v>
      </c>
      <c r="H97" s="1">
        <v>6750.743</v>
      </c>
      <c r="I97">
        <f t="shared" si="26"/>
        <v>-0.0515201124450188</v>
      </c>
      <c r="J97" s="1" t="s">
        <v>122</v>
      </c>
      <c r="K97" s="1">
        <v>225.533</v>
      </c>
      <c r="L97">
        <f t="shared" si="27"/>
        <v>0.00919553602591744</v>
      </c>
      <c r="M97" s="1" t="s">
        <v>122</v>
      </c>
      <c r="N97" s="1">
        <v>197.442</v>
      </c>
      <c r="O97">
        <f t="shared" si="28"/>
        <v>0.00654574373719155</v>
      </c>
      <c r="P97">
        <f t="shared" si="21"/>
        <v>-0.0159294765489618</v>
      </c>
      <c r="Q97">
        <f t="shared" si="22"/>
        <v>0.984070523451038</v>
      </c>
      <c r="S97">
        <f t="shared" si="23"/>
        <v>0.978115163609907</v>
      </c>
    </row>
    <row r="98" spans="1:19">
      <c r="A98" s="1" t="s">
        <v>123</v>
      </c>
      <c r="B98" s="1">
        <v>3804.885</v>
      </c>
      <c r="C98">
        <f t="shared" si="24"/>
        <v>-0.0671649292445891</v>
      </c>
      <c r="D98" s="1" t="s">
        <v>123</v>
      </c>
      <c r="E98" s="1">
        <v>5714.063</v>
      </c>
      <c r="F98">
        <f t="shared" si="25"/>
        <v>-0.0717513360687722</v>
      </c>
      <c r="G98" s="1" t="s">
        <v>123</v>
      </c>
      <c r="H98" s="1">
        <v>6124.864</v>
      </c>
      <c r="I98">
        <f t="shared" si="26"/>
        <v>-0.0927126095601626</v>
      </c>
      <c r="J98" s="1" t="s">
        <v>123</v>
      </c>
      <c r="K98" s="1">
        <v>225.549</v>
      </c>
      <c r="L98">
        <f t="shared" si="27"/>
        <v>7.09430548967094e-5</v>
      </c>
      <c r="M98" s="1" t="s">
        <v>123</v>
      </c>
      <c r="N98" s="1">
        <v>197.84</v>
      </c>
      <c r="O98">
        <f t="shared" si="28"/>
        <v>0.00201578184985969</v>
      </c>
      <c r="P98">
        <f t="shared" si="21"/>
        <v>-0.0459084299937535</v>
      </c>
      <c r="Q98">
        <f t="shared" si="22"/>
        <v>0.954091570006246</v>
      </c>
      <c r="S98">
        <f t="shared" si="23"/>
        <v>0.932835070755411</v>
      </c>
    </row>
    <row r="99" spans="1:19">
      <c r="A99" s="1" t="s">
        <v>124</v>
      </c>
      <c r="B99" s="1">
        <v>3508.703</v>
      </c>
      <c r="C99">
        <f t="shared" si="24"/>
        <v>-0.0778425629158306</v>
      </c>
      <c r="D99" s="1" t="s">
        <v>124</v>
      </c>
      <c r="E99" s="1">
        <v>5807.106</v>
      </c>
      <c r="F99">
        <f t="shared" si="25"/>
        <v>0.0162831596361468</v>
      </c>
      <c r="G99" s="1" t="s">
        <v>124</v>
      </c>
      <c r="H99" s="1">
        <v>6292.619</v>
      </c>
      <c r="I99">
        <f t="shared" si="26"/>
        <v>0.0273891795801507</v>
      </c>
      <c r="J99" s="1" t="s">
        <v>124</v>
      </c>
      <c r="K99" s="1">
        <v>226.869</v>
      </c>
      <c r="L99">
        <f t="shared" si="27"/>
        <v>0.00585238684277028</v>
      </c>
      <c r="M99" s="1" t="s">
        <v>124</v>
      </c>
      <c r="N99" s="1">
        <v>198.584</v>
      </c>
      <c r="O99">
        <f t="shared" si="28"/>
        <v>0.00376061463809139</v>
      </c>
      <c r="P99">
        <f t="shared" si="21"/>
        <v>-0.0049114444437343</v>
      </c>
      <c r="Q99">
        <f t="shared" si="22"/>
        <v>0.995088555556266</v>
      </c>
      <c r="S99">
        <f t="shared" si="23"/>
        <v>0.922157437084169</v>
      </c>
    </row>
    <row r="100" spans="1:19">
      <c r="A100" s="1" t="s">
        <v>125</v>
      </c>
      <c r="B100" s="1">
        <v>3853.037</v>
      </c>
      <c r="C100">
        <f t="shared" si="24"/>
        <v>0.0981371179036812</v>
      </c>
      <c r="D100" s="1" t="s">
        <v>125</v>
      </c>
      <c r="E100" s="1">
        <v>6156.147</v>
      </c>
      <c r="F100">
        <f t="shared" si="25"/>
        <v>0.0601058427381901</v>
      </c>
      <c r="G100" s="1" t="s">
        <v>125</v>
      </c>
      <c r="H100" s="1">
        <v>6590.307</v>
      </c>
      <c r="I100">
        <f t="shared" si="26"/>
        <v>0.0473074883446781</v>
      </c>
      <c r="J100" s="1" t="s">
        <v>125</v>
      </c>
      <c r="K100" s="1">
        <v>224.875</v>
      </c>
      <c r="L100">
        <f t="shared" si="27"/>
        <v>-0.00878921315825432</v>
      </c>
      <c r="M100" s="1" t="s">
        <v>125</v>
      </c>
      <c r="N100" s="1">
        <v>198.197</v>
      </c>
      <c r="O100">
        <f t="shared" si="28"/>
        <v>-0.00194879748620231</v>
      </c>
      <c r="P100">
        <f t="shared" si="21"/>
        <v>0.0389624876684186</v>
      </c>
      <c r="Q100">
        <f t="shared" si="22"/>
        <v>1.03896248766842</v>
      </c>
      <c r="S100">
        <f t="shared" si="23"/>
        <v>1.09813711790368</v>
      </c>
    </row>
    <row r="101" spans="1:19">
      <c r="A101" s="1" t="s">
        <v>126</v>
      </c>
      <c r="B101" s="1">
        <v>3871.634</v>
      </c>
      <c r="C101">
        <f t="shared" si="24"/>
        <v>0.00482658225187046</v>
      </c>
      <c r="D101" s="1" t="s">
        <v>126</v>
      </c>
      <c r="E101" s="1">
        <v>5864.467</v>
      </c>
      <c r="F101">
        <f t="shared" si="25"/>
        <v>-0.0473802851036534</v>
      </c>
      <c r="G101" s="1" t="s">
        <v>126</v>
      </c>
      <c r="H101" s="1">
        <v>6281.621</v>
      </c>
      <c r="I101">
        <f t="shared" si="26"/>
        <v>-0.0468393961009707</v>
      </c>
      <c r="J101" s="1" t="s">
        <v>126</v>
      </c>
      <c r="K101" s="1">
        <v>225.241</v>
      </c>
      <c r="L101">
        <f t="shared" si="27"/>
        <v>0.00162757087270712</v>
      </c>
      <c r="M101" s="1" t="s">
        <v>126</v>
      </c>
      <c r="N101" s="1">
        <v>198.511</v>
      </c>
      <c r="O101">
        <f t="shared" si="28"/>
        <v>0.00158428230497935</v>
      </c>
      <c r="P101">
        <f t="shared" si="21"/>
        <v>-0.0172362491550134</v>
      </c>
      <c r="Q101">
        <f t="shared" si="22"/>
        <v>0.982763750844987</v>
      </c>
      <c r="S101">
        <f t="shared" si="23"/>
        <v>1.00482658225187</v>
      </c>
    </row>
    <row r="102" spans="1:19">
      <c r="A102" s="1" t="s">
        <v>127</v>
      </c>
      <c r="B102" s="1">
        <v>4156.858</v>
      </c>
      <c r="C102">
        <f t="shared" si="24"/>
        <v>0.073670186799682</v>
      </c>
      <c r="D102" s="1" t="s">
        <v>127</v>
      </c>
      <c r="E102" s="1">
        <v>6289.15</v>
      </c>
      <c r="F102">
        <f t="shared" si="25"/>
        <v>0.0724162997251072</v>
      </c>
      <c r="G102" s="1" t="s">
        <v>127</v>
      </c>
      <c r="H102" s="1">
        <v>6805.276</v>
      </c>
      <c r="I102">
        <f t="shared" si="26"/>
        <v>0.0833630363882189</v>
      </c>
      <c r="J102" s="1" t="s">
        <v>127</v>
      </c>
      <c r="K102" s="1">
        <v>225.611</v>
      </c>
      <c r="L102">
        <f t="shared" si="27"/>
        <v>0.00164268494634625</v>
      </c>
      <c r="M102" s="1" t="s">
        <v>127</v>
      </c>
      <c r="N102" s="1">
        <v>199.017</v>
      </c>
      <c r="O102">
        <f t="shared" si="28"/>
        <v>0.00254897713476835</v>
      </c>
      <c r="P102">
        <f t="shared" si="21"/>
        <v>0.0467282369988245</v>
      </c>
      <c r="Q102">
        <f t="shared" si="22"/>
        <v>1.04672823699882</v>
      </c>
      <c r="S102">
        <f t="shared" si="23"/>
        <v>1.07367018679968</v>
      </c>
    </row>
    <row r="103" spans="1:19">
      <c r="A103" s="1" t="s">
        <v>128</v>
      </c>
      <c r="B103" s="1">
        <v>4069.459</v>
      </c>
      <c r="C103">
        <f t="shared" si="24"/>
        <v>-0.0210252551326026</v>
      </c>
      <c r="D103" s="1" t="s">
        <v>128</v>
      </c>
      <c r="E103" s="1">
        <v>6357.535</v>
      </c>
      <c r="F103">
        <f t="shared" si="25"/>
        <v>0.010873488468235</v>
      </c>
      <c r="G103" s="1" t="s">
        <v>128</v>
      </c>
      <c r="H103" s="1">
        <v>6955.574</v>
      </c>
      <c r="I103">
        <f t="shared" si="26"/>
        <v>0.0220855113003499</v>
      </c>
      <c r="J103" s="1" t="s">
        <v>128</v>
      </c>
      <c r="K103" s="1">
        <v>226.07</v>
      </c>
      <c r="L103">
        <f t="shared" si="27"/>
        <v>0.00203447526937961</v>
      </c>
      <c r="M103" s="1" t="s">
        <v>128</v>
      </c>
      <c r="N103" s="1">
        <v>199.275</v>
      </c>
      <c r="O103">
        <f t="shared" si="28"/>
        <v>0.00129637166674209</v>
      </c>
      <c r="P103">
        <f t="shared" ref="P103:P125" si="29">AVERAGE(F103,C103,I103,L103,O103)</f>
        <v>0.00305291831442079</v>
      </c>
      <c r="Q103">
        <f t="shared" ref="Q103:Q125" si="30">P103+1</f>
        <v>1.00305291831442</v>
      </c>
      <c r="S103">
        <f t="shared" ref="S103:S125" si="31">C103+1</f>
        <v>0.978974744867397</v>
      </c>
    </row>
    <row r="104" spans="1:19">
      <c r="A104" s="1" t="s">
        <v>129</v>
      </c>
      <c r="B104" s="1">
        <v>4050.926</v>
      </c>
      <c r="C104">
        <f t="shared" si="24"/>
        <v>-0.00455416801103044</v>
      </c>
      <c r="D104" s="1" t="s">
        <v>129</v>
      </c>
      <c r="E104" s="1">
        <v>6339.818</v>
      </c>
      <c r="F104">
        <f t="shared" si="25"/>
        <v>-0.00278677191710303</v>
      </c>
      <c r="G104" s="1" t="s">
        <v>129</v>
      </c>
      <c r="H104" s="1">
        <v>6875.808</v>
      </c>
      <c r="I104">
        <f t="shared" si="26"/>
        <v>-0.0114679248614133</v>
      </c>
      <c r="J104" s="1" t="s">
        <v>129</v>
      </c>
      <c r="K104" s="1">
        <v>227.439</v>
      </c>
      <c r="L104">
        <f t="shared" si="27"/>
        <v>0.0060556464811784</v>
      </c>
      <c r="M104" s="1" t="s">
        <v>129</v>
      </c>
      <c r="N104" s="1">
        <v>199.947</v>
      </c>
      <c r="O104">
        <f t="shared" si="28"/>
        <v>0.0033722243131351</v>
      </c>
      <c r="P104">
        <f t="shared" si="29"/>
        <v>-0.00187619879904665</v>
      </c>
      <c r="Q104">
        <f t="shared" si="30"/>
        <v>0.998123801200953</v>
      </c>
      <c r="S104">
        <f t="shared" si="31"/>
        <v>0.99544583198897</v>
      </c>
    </row>
    <row r="105" spans="1:19">
      <c r="A105" s="1" t="s">
        <v>130</v>
      </c>
      <c r="B105" s="1">
        <v>4029.086</v>
      </c>
      <c r="C105">
        <f t="shared" si="24"/>
        <v>-0.00539135990141517</v>
      </c>
      <c r="D105" s="1" t="s">
        <v>130</v>
      </c>
      <c r="E105" s="1">
        <v>6241.244</v>
      </c>
      <c r="F105">
        <f t="shared" si="25"/>
        <v>-0.0155483958687774</v>
      </c>
      <c r="G105" s="1" t="s">
        <v>130</v>
      </c>
      <c r="H105" s="1">
        <v>6723.305</v>
      </c>
      <c r="I105">
        <f t="shared" si="26"/>
        <v>-0.0221796478319348</v>
      </c>
      <c r="J105" s="1" t="s">
        <v>130</v>
      </c>
      <c r="K105" s="1">
        <v>228.83</v>
      </c>
      <c r="L105">
        <f t="shared" si="27"/>
        <v>0.00611592558883929</v>
      </c>
      <c r="M105" s="1" t="s">
        <v>130</v>
      </c>
      <c r="N105" s="1">
        <v>200.768</v>
      </c>
      <c r="O105">
        <f t="shared" si="28"/>
        <v>0.00410608811335003</v>
      </c>
      <c r="P105">
        <f t="shared" si="29"/>
        <v>-0.0065794779799876</v>
      </c>
      <c r="Q105">
        <f t="shared" si="30"/>
        <v>0.993420522020012</v>
      </c>
      <c r="S105">
        <f t="shared" si="31"/>
        <v>0.994608640098585</v>
      </c>
    </row>
    <row r="106" spans="1:19">
      <c r="A106" s="1" t="s">
        <v>131</v>
      </c>
      <c r="B106" s="1">
        <v>3798.543</v>
      </c>
      <c r="C106">
        <f t="shared" si="24"/>
        <v>-0.0572196771178376</v>
      </c>
      <c r="D106" s="1" t="s">
        <v>131</v>
      </c>
      <c r="E106" s="1">
        <v>6047.802</v>
      </c>
      <c r="F106">
        <f t="shared" si="25"/>
        <v>-0.0309941415525495</v>
      </c>
      <c r="G106" s="1" t="s">
        <v>131</v>
      </c>
      <c r="H106" s="1">
        <v>6561.649</v>
      </c>
      <c r="I106">
        <f t="shared" si="26"/>
        <v>-0.0240441271071296</v>
      </c>
      <c r="J106" s="1" t="s">
        <v>131</v>
      </c>
      <c r="K106" s="1">
        <v>230.67</v>
      </c>
      <c r="L106">
        <f t="shared" si="27"/>
        <v>0.00804090372765798</v>
      </c>
      <c r="M106" s="1" t="s">
        <v>131</v>
      </c>
      <c r="N106" s="1">
        <v>201.899</v>
      </c>
      <c r="O106">
        <f t="shared" si="28"/>
        <v>0.00563336786738923</v>
      </c>
      <c r="P106">
        <f t="shared" si="29"/>
        <v>-0.0197167348364939</v>
      </c>
      <c r="Q106">
        <f t="shared" si="30"/>
        <v>0.980283265163506</v>
      </c>
      <c r="S106">
        <f t="shared" si="31"/>
        <v>0.942780322882162</v>
      </c>
    </row>
    <row r="107" spans="1:19">
      <c r="A107" s="1" t="s">
        <v>132</v>
      </c>
      <c r="B107" s="1">
        <v>3842.452</v>
      </c>
      <c r="C107">
        <f t="shared" si="24"/>
        <v>0.011559432129635</v>
      </c>
      <c r="D107" s="1" t="s">
        <v>132</v>
      </c>
      <c r="E107" s="1">
        <v>5998.729</v>
      </c>
      <c r="F107">
        <f t="shared" si="25"/>
        <v>-0.00811418760071831</v>
      </c>
      <c r="G107" s="1" t="s">
        <v>132</v>
      </c>
      <c r="H107" s="1">
        <v>6602.037</v>
      </c>
      <c r="I107">
        <f t="shared" si="26"/>
        <v>0.00615516008247316</v>
      </c>
      <c r="J107" s="1" t="s">
        <v>132</v>
      </c>
      <c r="K107" s="1">
        <v>231.944</v>
      </c>
      <c r="L107">
        <f t="shared" si="27"/>
        <v>0.00552304157454372</v>
      </c>
      <c r="M107" s="1" t="s">
        <v>132</v>
      </c>
      <c r="N107" s="1">
        <v>202.777</v>
      </c>
      <c r="O107">
        <f t="shared" si="28"/>
        <v>0.00434870900796926</v>
      </c>
      <c r="P107">
        <f t="shared" si="29"/>
        <v>0.00389443103878057</v>
      </c>
      <c r="Q107">
        <f t="shared" si="30"/>
        <v>1.00389443103878</v>
      </c>
      <c r="S107">
        <f t="shared" si="31"/>
        <v>1.01155943212964</v>
      </c>
    </row>
    <row r="108" spans="1:19">
      <c r="A108" s="1" t="s">
        <v>133</v>
      </c>
      <c r="B108" s="1">
        <v>4014.63</v>
      </c>
      <c r="C108">
        <f t="shared" si="24"/>
        <v>0.044809408159165</v>
      </c>
      <c r="D108" s="1" t="s">
        <v>133</v>
      </c>
      <c r="E108" s="1">
        <v>6088.243</v>
      </c>
      <c r="F108">
        <f t="shared" si="25"/>
        <v>0.0149221610111075</v>
      </c>
      <c r="G108" s="1" t="s">
        <v>133</v>
      </c>
      <c r="H108" s="1">
        <v>6515.849</v>
      </c>
      <c r="I108">
        <f t="shared" si="26"/>
        <v>-0.0130547587055329</v>
      </c>
      <c r="J108" s="1" t="s">
        <v>133</v>
      </c>
      <c r="K108" s="1">
        <v>232.741</v>
      </c>
      <c r="L108">
        <f t="shared" si="27"/>
        <v>0.00343617424895675</v>
      </c>
      <c r="M108" s="1" t="s">
        <v>133</v>
      </c>
      <c r="N108" s="1">
        <v>203.383</v>
      </c>
      <c r="O108">
        <f t="shared" si="28"/>
        <v>0.00298850461344247</v>
      </c>
      <c r="P108">
        <f t="shared" si="29"/>
        <v>0.0106202978654278</v>
      </c>
      <c r="Q108">
        <f t="shared" si="30"/>
        <v>1.01062029786543</v>
      </c>
      <c r="S108">
        <f t="shared" si="31"/>
        <v>1.04480940815917</v>
      </c>
    </row>
    <row r="109" spans="1:19">
      <c r="A109" s="1" t="s">
        <v>134</v>
      </c>
      <c r="B109" s="1">
        <v>3765.268</v>
      </c>
      <c r="C109">
        <f t="shared" si="24"/>
        <v>-0.062113320530161</v>
      </c>
      <c r="D109" s="1" t="s">
        <v>134</v>
      </c>
      <c r="E109" s="1">
        <v>5739.398</v>
      </c>
      <c r="F109">
        <f t="shared" si="25"/>
        <v>-0.057298140038103</v>
      </c>
      <c r="G109" s="1" t="s">
        <v>134</v>
      </c>
      <c r="H109" s="1">
        <v>6104.295</v>
      </c>
      <c r="I109">
        <f t="shared" si="26"/>
        <v>-0.0631619916299472</v>
      </c>
      <c r="J109" s="1" t="s">
        <v>134</v>
      </c>
      <c r="K109" s="1">
        <v>234.562</v>
      </c>
      <c r="L109">
        <f t="shared" si="27"/>
        <v>0.00782414787252782</v>
      </c>
      <c r="M109" s="1" t="s">
        <v>134</v>
      </c>
      <c r="N109" s="1">
        <v>204.411</v>
      </c>
      <c r="O109">
        <f t="shared" si="28"/>
        <v>0.00505450308039508</v>
      </c>
      <c r="P109">
        <f t="shared" si="29"/>
        <v>-0.0339389602490577</v>
      </c>
      <c r="Q109">
        <f t="shared" si="30"/>
        <v>0.966061039750942</v>
      </c>
      <c r="S109">
        <f t="shared" si="31"/>
        <v>0.937886679469839</v>
      </c>
    </row>
    <row r="110" spans="1:19">
      <c r="A110" s="1" t="s">
        <v>135</v>
      </c>
      <c r="B110" s="1">
        <v>3689.517</v>
      </c>
      <c r="C110">
        <f t="shared" si="24"/>
        <v>-0.0201183554530515</v>
      </c>
      <c r="D110" s="1" t="s">
        <v>135</v>
      </c>
      <c r="E110" s="1">
        <v>5690.77</v>
      </c>
      <c r="F110">
        <f t="shared" si="25"/>
        <v>-0.00847266560012038</v>
      </c>
      <c r="G110" s="1" t="s">
        <v>135</v>
      </c>
      <c r="H110" s="1">
        <v>6078.945</v>
      </c>
      <c r="I110">
        <f t="shared" si="26"/>
        <v>-0.00415281371558884</v>
      </c>
      <c r="J110" s="1" t="s">
        <v>135</v>
      </c>
      <c r="K110" s="1">
        <v>233.643</v>
      </c>
      <c r="L110">
        <f t="shared" si="27"/>
        <v>-0.00391794067240223</v>
      </c>
      <c r="M110" s="1" t="s">
        <v>135</v>
      </c>
      <c r="N110" s="1">
        <v>204.443</v>
      </c>
      <c r="O110">
        <f t="shared" si="28"/>
        <v>0.000156547348234736</v>
      </c>
      <c r="P110">
        <f t="shared" si="29"/>
        <v>-0.00730104561858563</v>
      </c>
      <c r="Q110">
        <f t="shared" si="30"/>
        <v>0.992698954381414</v>
      </c>
      <c r="S110">
        <f t="shared" si="31"/>
        <v>0.979881644546948</v>
      </c>
    </row>
    <row r="111" spans="1:19">
      <c r="A111" s="1" t="s">
        <v>136</v>
      </c>
      <c r="B111" s="1">
        <v>3572.506</v>
      </c>
      <c r="C111">
        <f t="shared" si="24"/>
        <v>-0.0317144493439114</v>
      </c>
      <c r="D111" s="1" t="s">
        <v>136</v>
      </c>
      <c r="E111" s="1">
        <v>5528.239</v>
      </c>
      <c r="F111">
        <f t="shared" si="25"/>
        <v>-0.02856045842654</v>
      </c>
      <c r="G111" s="1" t="s">
        <v>136</v>
      </c>
      <c r="H111" s="1">
        <v>5969.341</v>
      </c>
      <c r="I111">
        <f t="shared" si="26"/>
        <v>-0.0180301022628103</v>
      </c>
      <c r="J111" s="1" t="s">
        <v>136</v>
      </c>
      <c r="K111" s="1">
        <v>233.317</v>
      </c>
      <c r="L111">
        <f t="shared" si="27"/>
        <v>-0.00139529110651718</v>
      </c>
      <c r="M111" s="1" t="s">
        <v>136</v>
      </c>
      <c r="N111" s="1">
        <v>204.794</v>
      </c>
      <c r="O111">
        <f t="shared" si="28"/>
        <v>0.00171685995607577</v>
      </c>
      <c r="P111">
        <f t="shared" si="29"/>
        <v>-0.0155966882367406</v>
      </c>
      <c r="Q111">
        <f t="shared" si="30"/>
        <v>0.984403311763259</v>
      </c>
      <c r="S111">
        <f t="shared" si="31"/>
        <v>0.968285550656089</v>
      </c>
    </row>
    <row r="112" spans="1:19">
      <c r="A112" s="1" t="s">
        <v>137</v>
      </c>
      <c r="B112" s="1">
        <v>3496.203</v>
      </c>
      <c r="C112">
        <f t="shared" si="24"/>
        <v>-0.021358396598914</v>
      </c>
      <c r="D112" s="1" t="s">
        <v>137</v>
      </c>
      <c r="E112" s="1">
        <v>5545.05</v>
      </c>
      <c r="F112">
        <f t="shared" si="25"/>
        <v>0.00304093220282274</v>
      </c>
      <c r="G112" s="1" t="s">
        <v>137</v>
      </c>
      <c r="H112" s="1">
        <v>6080.547</v>
      </c>
      <c r="I112">
        <f t="shared" si="26"/>
        <v>0.0186295271119541</v>
      </c>
      <c r="J112" s="1" t="s">
        <v>137</v>
      </c>
      <c r="K112" s="1">
        <v>234.219</v>
      </c>
      <c r="L112">
        <f t="shared" si="27"/>
        <v>0.00386598490465756</v>
      </c>
      <c r="M112" s="1" t="s">
        <v>137</v>
      </c>
      <c r="N112" s="1">
        <v>205.253</v>
      </c>
      <c r="O112">
        <f t="shared" si="28"/>
        <v>0.00224127659990026</v>
      </c>
      <c r="P112">
        <f t="shared" si="29"/>
        <v>0.00128386484408413</v>
      </c>
      <c r="Q112">
        <f t="shared" si="30"/>
        <v>1.00128386484408</v>
      </c>
      <c r="S112">
        <f t="shared" si="31"/>
        <v>0.978641603401086</v>
      </c>
    </row>
    <row r="113" spans="1:19">
      <c r="A113" s="1" t="s">
        <v>138</v>
      </c>
      <c r="B113" s="1">
        <v>3431.11</v>
      </c>
      <c r="C113">
        <f t="shared" si="24"/>
        <v>-0.0186181980851798</v>
      </c>
      <c r="D113" s="1" t="s">
        <v>138</v>
      </c>
      <c r="E113" s="1">
        <v>5429.229</v>
      </c>
      <c r="F113">
        <f t="shared" si="25"/>
        <v>-0.0208872778424</v>
      </c>
      <c r="G113" s="1" t="s">
        <v>138</v>
      </c>
      <c r="H113" s="1">
        <v>5887.235</v>
      </c>
      <c r="I113">
        <f t="shared" si="26"/>
        <v>-0.031791876618995</v>
      </c>
      <c r="J113" s="1" t="s">
        <v>138</v>
      </c>
      <c r="K113" s="1">
        <v>237.015</v>
      </c>
      <c r="L113">
        <f t="shared" si="27"/>
        <v>0.0119375456303715</v>
      </c>
      <c r="M113" s="1" t="s">
        <v>138</v>
      </c>
      <c r="N113" s="1">
        <v>206.034</v>
      </c>
      <c r="O113">
        <f t="shared" si="28"/>
        <v>0.00380506009656378</v>
      </c>
      <c r="P113">
        <f t="shared" si="29"/>
        <v>-0.0111109493639279</v>
      </c>
      <c r="Q113">
        <f t="shared" si="30"/>
        <v>0.988889050636072</v>
      </c>
      <c r="S113">
        <f t="shared" si="31"/>
        <v>0.98138180191482</v>
      </c>
    </row>
    <row r="114" spans="1:19">
      <c r="A114" s="1" t="s">
        <v>139</v>
      </c>
      <c r="B114" s="1">
        <v>3215.352</v>
      </c>
      <c r="C114">
        <f t="shared" si="24"/>
        <v>-0.0628828571511844</v>
      </c>
      <c r="D114" s="1" t="s">
        <v>139</v>
      </c>
      <c r="E114" s="1">
        <v>4696.98</v>
      </c>
      <c r="F114">
        <f t="shared" si="25"/>
        <v>-0.13487163646993</v>
      </c>
      <c r="G114" s="1" t="s">
        <v>139</v>
      </c>
      <c r="H114" s="1">
        <v>4785.032</v>
      </c>
      <c r="I114">
        <f t="shared" si="26"/>
        <v>-0.187219127485144</v>
      </c>
      <c r="J114" s="1" t="s">
        <v>139</v>
      </c>
      <c r="K114" s="1">
        <v>240.005</v>
      </c>
      <c r="L114">
        <f t="shared" si="27"/>
        <v>0.0126152353226589</v>
      </c>
      <c r="M114" s="1" t="s">
        <v>139</v>
      </c>
      <c r="N114" s="1">
        <v>208.067</v>
      </c>
      <c r="O114">
        <f t="shared" si="28"/>
        <v>0.00986730345476968</v>
      </c>
      <c r="P114">
        <f t="shared" si="29"/>
        <v>-0.0724982164657658</v>
      </c>
      <c r="Q114">
        <f t="shared" si="30"/>
        <v>0.927501783534234</v>
      </c>
      <c r="S114">
        <f t="shared" si="31"/>
        <v>0.937117142848816</v>
      </c>
    </row>
    <row r="115" spans="1:19">
      <c r="A115" s="1" t="s">
        <v>140</v>
      </c>
      <c r="B115" s="1">
        <v>3516.083</v>
      </c>
      <c r="C115">
        <f t="shared" si="24"/>
        <v>0.0935297286269125</v>
      </c>
      <c r="D115" s="1" t="s">
        <v>140</v>
      </c>
      <c r="E115" s="1">
        <v>5346.793</v>
      </c>
      <c r="F115">
        <f t="shared" si="25"/>
        <v>0.138346980400172</v>
      </c>
      <c r="G115" s="1" t="s">
        <v>140</v>
      </c>
      <c r="H115" s="1">
        <v>5344.605</v>
      </c>
      <c r="I115">
        <f t="shared" si="26"/>
        <v>0.116942373635119</v>
      </c>
      <c r="J115" s="1" t="s">
        <v>140</v>
      </c>
      <c r="K115" s="1">
        <v>242.031</v>
      </c>
      <c r="L115">
        <f t="shared" si="27"/>
        <v>0.008441490802275</v>
      </c>
      <c r="M115" s="1" t="s">
        <v>140</v>
      </c>
      <c r="N115" s="1">
        <v>209.298</v>
      </c>
      <c r="O115">
        <f t="shared" si="28"/>
        <v>0.00591636347907162</v>
      </c>
      <c r="P115">
        <f t="shared" si="29"/>
        <v>0.07263538738871</v>
      </c>
      <c r="Q115">
        <f t="shared" si="30"/>
        <v>1.07263538738871</v>
      </c>
      <c r="S115">
        <f t="shared" si="31"/>
        <v>1.09352972862691</v>
      </c>
    </row>
    <row r="116" spans="1:19">
      <c r="A116" s="1" t="s">
        <v>141</v>
      </c>
      <c r="B116" s="1">
        <v>3537.484</v>
      </c>
      <c r="C116">
        <f t="shared" si="24"/>
        <v>0.00608660262001774</v>
      </c>
      <c r="D116" s="1" t="s">
        <v>141</v>
      </c>
      <c r="E116" s="1">
        <v>5286.161</v>
      </c>
      <c r="F116">
        <f t="shared" si="25"/>
        <v>-0.0113398816823467</v>
      </c>
      <c r="G116" s="1" t="s">
        <v>141</v>
      </c>
      <c r="H116" s="1">
        <v>5441.26</v>
      </c>
      <c r="I116">
        <f t="shared" si="26"/>
        <v>0.0180845918454218</v>
      </c>
      <c r="J116" s="1" t="s">
        <v>141</v>
      </c>
      <c r="K116" s="1">
        <v>242.557</v>
      </c>
      <c r="L116">
        <f t="shared" si="27"/>
        <v>0.00217327532423525</v>
      </c>
      <c r="M116" s="1" t="s">
        <v>141</v>
      </c>
      <c r="N116" s="1">
        <v>210.089</v>
      </c>
      <c r="O116">
        <f t="shared" si="28"/>
        <v>0.00377930032776231</v>
      </c>
      <c r="P116">
        <f t="shared" si="29"/>
        <v>0.00375677768701808</v>
      </c>
      <c r="Q116">
        <f t="shared" si="30"/>
        <v>1.00375677768702</v>
      </c>
      <c r="S116">
        <f t="shared" si="31"/>
        <v>1.00608660262002</v>
      </c>
    </row>
    <row r="117" spans="1:19">
      <c r="A117" s="1" t="s">
        <v>142</v>
      </c>
      <c r="B117" s="1">
        <v>3604.394</v>
      </c>
      <c r="C117">
        <f t="shared" si="24"/>
        <v>0.0189145731825218</v>
      </c>
      <c r="D117" s="1" t="s">
        <v>142</v>
      </c>
      <c r="E117" s="1">
        <v>5441.141</v>
      </c>
      <c r="F117">
        <f t="shared" si="25"/>
        <v>0.0293180627680465</v>
      </c>
      <c r="G117" s="1" t="s">
        <v>142</v>
      </c>
      <c r="H117" s="1">
        <v>5497.43</v>
      </c>
      <c r="I117">
        <f t="shared" si="26"/>
        <v>0.0103229766634934</v>
      </c>
      <c r="J117" s="1" t="s">
        <v>142</v>
      </c>
      <c r="K117" s="1">
        <v>243.927</v>
      </c>
      <c r="L117">
        <f t="shared" si="27"/>
        <v>0.00564815692806229</v>
      </c>
      <c r="M117" s="1" t="s">
        <v>142</v>
      </c>
      <c r="N117" s="1">
        <v>211.855</v>
      </c>
      <c r="O117">
        <f t="shared" si="28"/>
        <v>0.00840596128307523</v>
      </c>
      <c r="P117">
        <f t="shared" si="29"/>
        <v>0.0145219461650398</v>
      </c>
      <c r="Q117">
        <f t="shared" si="30"/>
        <v>1.01452194616504</v>
      </c>
      <c r="S117">
        <f t="shared" si="31"/>
        <v>1.01891457318252</v>
      </c>
    </row>
    <row r="118" spans="1:19">
      <c r="A118" s="1" t="s">
        <v>143</v>
      </c>
      <c r="B118" s="1">
        <v>3579.925</v>
      </c>
      <c r="C118">
        <f t="shared" si="24"/>
        <v>-0.00678865850958569</v>
      </c>
      <c r="D118" s="1" t="s">
        <v>143</v>
      </c>
      <c r="E118" s="1">
        <v>5308.54</v>
      </c>
      <c r="F118">
        <f t="shared" si="25"/>
        <v>-0.0243700723800393</v>
      </c>
      <c r="G118" s="1" t="s">
        <v>143</v>
      </c>
      <c r="H118" s="1">
        <v>5355.21</v>
      </c>
      <c r="I118">
        <f t="shared" si="26"/>
        <v>-0.0258702702899355</v>
      </c>
      <c r="J118" s="1" t="s">
        <v>143</v>
      </c>
      <c r="K118" s="1">
        <v>244.795</v>
      </c>
      <c r="L118">
        <f t="shared" si="27"/>
        <v>0.00355844166492432</v>
      </c>
      <c r="M118" s="1" t="s">
        <v>143</v>
      </c>
      <c r="N118" s="1">
        <v>212.693</v>
      </c>
      <c r="O118">
        <f t="shared" si="28"/>
        <v>0.00395553562578189</v>
      </c>
      <c r="P118">
        <f t="shared" si="29"/>
        <v>-0.00990300477777087</v>
      </c>
      <c r="Q118">
        <f t="shared" si="30"/>
        <v>0.990096995222229</v>
      </c>
      <c r="S118">
        <f t="shared" si="31"/>
        <v>0.993211341490414</v>
      </c>
    </row>
    <row r="119" spans="1:19">
      <c r="A119" s="1" t="s">
        <v>144</v>
      </c>
      <c r="B119" s="1">
        <v>3461.657</v>
      </c>
      <c r="C119">
        <f t="shared" si="24"/>
        <v>-0.0330364462942659</v>
      </c>
      <c r="D119" s="1" t="s">
        <v>144</v>
      </c>
      <c r="E119" s="1">
        <v>4942.782</v>
      </c>
      <c r="F119">
        <f t="shared" si="25"/>
        <v>-0.0688999235194611</v>
      </c>
      <c r="G119" s="1" t="s">
        <v>144</v>
      </c>
      <c r="H119" s="1">
        <v>4895.987</v>
      </c>
      <c r="I119">
        <f t="shared" si="26"/>
        <v>-0.0857525661925489</v>
      </c>
      <c r="J119" s="1" t="s">
        <v>144</v>
      </c>
      <c r="K119" s="1">
        <v>247.221</v>
      </c>
      <c r="L119">
        <f t="shared" si="27"/>
        <v>0.00991033313588928</v>
      </c>
      <c r="M119" s="1" t="s">
        <v>144</v>
      </c>
      <c r="N119" s="1">
        <v>214.139</v>
      </c>
      <c r="O119">
        <f t="shared" si="28"/>
        <v>0.00679853121635408</v>
      </c>
      <c r="P119">
        <f t="shared" si="29"/>
        <v>-0.0341960143308065</v>
      </c>
      <c r="Q119">
        <f t="shared" si="30"/>
        <v>0.965803985669193</v>
      </c>
      <c r="S119">
        <f t="shared" si="31"/>
        <v>0.966963553705734</v>
      </c>
    </row>
    <row r="120" spans="1:19">
      <c r="A120" s="1" t="s">
        <v>145</v>
      </c>
      <c r="B120" s="1">
        <v>3442.084</v>
      </c>
      <c r="C120">
        <f t="shared" si="24"/>
        <v>-0.00565422859630527</v>
      </c>
      <c r="D120" s="1" t="s">
        <v>145</v>
      </c>
      <c r="E120" s="1">
        <v>4886.414</v>
      </c>
      <c r="F120">
        <f t="shared" si="25"/>
        <v>-0.011404104004587</v>
      </c>
      <c r="G120" s="1" t="s">
        <v>145</v>
      </c>
      <c r="H120" s="1">
        <v>4889.081</v>
      </c>
      <c r="I120">
        <f t="shared" si="26"/>
        <v>-0.0014105429610005</v>
      </c>
      <c r="J120" s="1" t="s">
        <v>145</v>
      </c>
      <c r="K120" s="1">
        <v>249.29</v>
      </c>
      <c r="L120">
        <f t="shared" si="27"/>
        <v>0.00836903013902536</v>
      </c>
      <c r="M120" s="1" t="s">
        <v>145</v>
      </c>
      <c r="N120" s="1">
        <v>215.459</v>
      </c>
      <c r="O120">
        <f t="shared" si="28"/>
        <v>0.00616422043625866</v>
      </c>
      <c r="P120">
        <f t="shared" si="29"/>
        <v>-0.000787124997321744</v>
      </c>
      <c r="Q120">
        <f t="shared" si="30"/>
        <v>0.999212875002678</v>
      </c>
      <c r="S120">
        <f t="shared" si="31"/>
        <v>0.994345771403695</v>
      </c>
    </row>
    <row r="121" spans="1:19">
      <c r="A121" s="1" t="s">
        <v>146</v>
      </c>
      <c r="B121" s="1">
        <v>3321.432</v>
      </c>
      <c r="C121">
        <f t="shared" si="24"/>
        <v>-0.0350520208106484</v>
      </c>
      <c r="D121" s="1" t="s">
        <v>146</v>
      </c>
      <c r="E121" s="1">
        <v>4639.114</v>
      </c>
      <c r="F121">
        <f t="shared" si="25"/>
        <v>-0.050609710925026</v>
      </c>
      <c r="G121" s="1" t="s">
        <v>146</v>
      </c>
      <c r="H121" s="1">
        <v>4629.32</v>
      </c>
      <c r="I121">
        <f t="shared" si="26"/>
        <v>-0.0531308440175159</v>
      </c>
      <c r="J121" s="1" t="s">
        <v>146</v>
      </c>
      <c r="K121" s="1">
        <v>249.652</v>
      </c>
      <c r="L121">
        <f t="shared" si="27"/>
        <v>0.00145212403225157</v>
      </c>
      <c r="M121" s="1" t="s">
        <v>146</v>
      </c>
      <c r="N121" s="1">
        <v>216.285</v>
      </c>
      <c r="O121">
        <f t="shared" si="28"/>
        <v>0.00383367601260562</v>
      </c>
      <c r="P121">
        <f t="shared" si="29"/>
        <v>-0.0267013551416666</v>
      </c>
      <c r="Q121">
        <f t="shared" si="30"/>
        <v>0.973298644858333</v>
      </c>
      <c r="S121">
        <f t="shared" si="31"/>
        <v>0.964947979189352</v>
      </c>
    </row>
    <row r="122" spans="1:19">
      <c r="A122" s="1" t="s">
        <v>147</v>
      </c>
      <c r="B122" s="1">
        <v>4017.855</v>
      </c>
      <c r="C122">
        <f t="shared" si="24"/>
        <v>0.209675525496232</v>
      </c>
      <c r="D122" s="1" t="s">
        <v>147</v>
      </c>
      <c r="E122" s="1">
        <v>5743.217</v>
      </c>
      <c r="F122">
        <f t="shared" si="25"/>
        <v>0.23799867819588</v>
      </c>
      <c r="G122" s="1" t="s">
        <v>147</v>
      </c>
      <c r="H122" s="1">
        <v>5708.826</v>
      </c>
      <c r="I122">
        <f t="shared" si="26"/>
        <v>0.233188891673075</v>
      </c>
      <c r="J122" s="1" t="s">
        <v>147</v>
      </c>
      <c r="K122" s="1">
        <v>250.298</v>
      </c>
      <c r="L122">
        <f t="shared" si="27"/>
        <v>0.00258760194190319</v>
      </c>
      <c r="M122" s="1" t="s">
        <v>147</v>
      </c>
      <c r="N122" s="1">
        <v>216.946</v>
      </c>
      <c r="O122">
        <f t="shared" si="28"/>
        <v>0.00305615276140278</v>
      </c>
      <c r="P122">
        <f t="shared" si="29"/>
        <v>0.137301370013699</v>
      </c>
      <c r="Q122">
        <f t="shared" si="30"/>
        <v>1.1373013700137</v>
      </c>
      <c r="S122">
        <f t="shared" si="31"/>
        <v>1.20967552549623</v>
      </c>
    </row>
    <row r="123" spans="1:19">
      <c r="A123" s="1" t="s">
        <v>148</v>
      </c>
      <c r="B123" s="1">
        <v>3891.04</v>
      </c>
      <c r="C123">
        <f t="shared" si="24"/>
        <v>-0.0315628612779705</v>
      </c>
      <c r="D123" s="1" t="s">
        <v>148</v>
      </c>
      <c r="E123" s="1">
        <v>5901.29</v>
      </c>
      <c r="F123">
        <f t="shared" si="25"/>
        <v>0.0275234245893896</v>
      </c>
      <c r="G123" s="1" t="s">
        <v>148</v>
      </c>
      <c r="H123" s="1">
        <v>6116.663</v>
      </c>
      <c r="I123">
        <f t="shared" si="26"/>
        <v>0.0714397320920272</v>
      </c>
      <c r="J123" s="1" t="s">
        <v>148</v>
      </c>
      <c r="K123" s="1">
        <v>250.251</v>
      </c>
      <c r="L123">
        <f t="shared" si="27"/>
        <v>-0.000187776170804389</v>
      </c>
      <c r="M123" s="1" t="s">
        <v>148</v>
      </c>
      <c r="N123" s="1">
        <v>217.472</v>
      </c>
      <c r="O123">
        <f t="shared" si="28"/>
        <v>0.00242456648198174</v>
      </c>
      <c r="P123">
        <f t="shared" si="29"/>
        <v>0.0139274171429247</v>
      </c>
      <c r="Q123">
        <f t="shared" si="30"/>
        <v>1.01392741714292</v>
      </c>
      <c r="S123">
        <f t="shared" si="31"/>
        <v>0.96843713872203</v>
      </c>
    </row>
    <row r="124" spans="1:19">
      <c r="A124" s="1" t="s">
        <v>149</v>
      </c>
      <c r="B124" s="1">
        <v>3916.583</v>
      </c>
      <c r="C124">
        <f>(B124-B123)/B123</f>
        <v>0.00656456885562732</v>
      </c>
      <c r="D124" s="1" t="s">
        <v>149</v>
      </c>
      <c r="E124" s="1">
        <v>5851.939</v>
      </c>
      <c r="F124">
        <f>(E124-E123)/E123</f>
        <v>-0.00836274780598812</v>
      </c>
      <c r="G124" s="1" t="s">
        <v>149</v>
      </c>
      <c r="H124" s="1">
        <v>6189.128</v>
      </c>
      <c r="I124">
        <f>(H124-H123)/H123</f>
        <v>0.0118471460664091</v>
      </c>
      <c r="J124" s="1" t="s">
        <v>149</v>
      </c>
      <c r="K124" s="1">
        <v>252.787</v>
      </c>
      <c r="L124">
        <f>(K124-K123)/K123</f>
        <v>0.0101338256390584</v>
      </c>
      <c r="M124" s="1" t="s">
        <v>149</v>
      </c>
      <c r="N124" s="1">
        <v>219.351</v>
      </c>
      <c r="O124">
        <f>(N124-N123)/N123</f>
        <v>0.00864019276044728</v>
      </c>
      <c r="P124">
        <f t="shared" si="29"/>
        <v>0.0057645971031108</v>
      </c>
      <c r="Q124">
        <f t="shared" si="30"/>
        <v>1.00576459710311</v>
      </c>
      <c r="S124">
        <f t="shared" si="31"/>
        <v>1.00656456885563</v>
      </c>
    </row>
    <row r="125" spans="1:19">
      <c r="A125" s="1" t="s">
        <v>150</v>
      </c>
      <c r="B125" s="1">
        <v>3934.911</v>
      </c>
      <c r="C125">
        <f>(B125-B124)/B124</f>
        <v>0.00467958932569538</v>
      </c>
      <c r="D125" s="1" t="s">
        <v>150</v>
      </c>
      <c r="E125" s="1">
        <v>5725.732</v>
      </c>
      <c r="F125">
        <f>(E125-E124)/E124</f>
        <v>-0.0215666978073422</v>
      </c>
      <c r="G125" s="1" t="s">
        <v>150</v>
      </c>
      <c r="H125" s="1">
        <v>5957.717</v>
      </c>
      <c r="I125">
        <f>(H125-H124)/H124</f>
        <v>-0.0373899198723956</v>
      </c>
      <c r="J125" s="1" t="s">
        <v>150</v>
      </c>
      <c r="K125" s="1">
        <v>257.932</v>
      </c>
      <c r="L125">
        <f>(K125-K124)/K124</f>
        <v>0.0203531036010555</v>
      </c>
      <c r="M125" s="1" t="s">
        <v>150</v>
      </c>
      <c r="N125" s="1">
        <v>222.605</v>
      </c>
      <c r="O125">
        <f>(N125-N124)/N124</f>
        <v>0.0148346713714548</v>
      </c>
      <c r="P125">
        <f t="shared" si="29"/>
        <v>-0.00381785067630642</v>
      </c>
      <c r="Q125">
        <f t="shared" si="30"/>
        <v>0.996182149323694</v>
      </c>
      <c r="S125">
        <f t="shared" si="31"/>
        <v>1.0046795893257</v>
      </c>
    </row>
    <row r="126" spans="1:19">
      <c r="A126" t="s">
        <v>151</v>
      </c>
      <c r="C126">
        <f>AVERAGE(C5:C125)</f>
        <v>0.00269843180953584</v>
      </c>
      <c r="F126">
        <f>AVERAGE(F5:F125)</f>
        <v>0.0032319769505058</v>
      </c>
      <c r="I126">
        <f>AVERAGE(I5:I125)</f>
        <v>0.00348589319014427</v>
      </c>
      <c r="L126">
        <f>AVERAGE(L5:L125)</f>
        <v>0.00409448488136067</v>
      </c>
      <c r="O126">
        <f>AVERAGE(O5:O125)</f>
        <v>0.0035434283780064</v>
      </c>
      <c r="Q126">
        <f>GEOMEAN(Q6:Q125)^12-1</f>
        <v>0.0310902900687799</v>
      </c>
      <c r="S126">
        <f>GEOMEAN(S6:S125)^12-1</f>
        <v>0.0108121704249227</v>
      </c>
    </row>
    <row r="127" spans="1:15">
      <c r="A127" t="s">
        <v>152</v>
      </c>
      <c r="F127">
        <f>(1+F126)^12-1</f>
        <v>0.0394806194872823</v>
      </c>
      <c r="I127">
        <f>(1+I126)^12-1</f>
        <v>0.0426421064751512</v>
      </c>
      <c r="L127">
        <f>(1+L126)^12-1</f>
        <v>0.0502555373557159</v>
      </c>
      <c r="O127">
        <f>(1+O126)^12-1</f>
        <v>0.0433596953986051</v>
      </c>
    </row>
    <row r="128" spans="1:15">
      <c r="A128" t="s">
        <v>153</v>
      </c>
      <c r="C128">
        <f>STDEV(C5:C125)</f>
        <v>0.0604191221659269</v>
      </c>
      <c r="F128">
        <f>STDEV(F5:F125)</f>
        <v>0.0727649187080904</v>
      </c>
      <c r="I128">
        <f>STDEV(I5:I125)</f>
        <v>0.0850187352261852</v>
      </c>
      <c r="L128">
        <f>STDEV(L5:L125)</f>
        <v>0.00617924163384817</v>
      </c>
      <c r="O128">
        <f>STDEV(O5:O125)</f>
        <v>0.0028111847134441</v>
      </c>
    </row>
    <row r="129" spans="1:15">
      <c r="A129" t="s">
        <v>154</v>
      </c>
      <c r="C129">
        <f>C128*(12^0.5)</f>
        <v>0.209297978680193</v>
      </c>
      <c r="F129">
        <f>F128*(12^0.5)</f>
        <v>0.252065072422063</v>
      </c>
      <c r="I129">
        <f>I128*(12^0.5)</f>
        <v>0.294513538013997</v>
      </c>
      <c r="L129">
        <f>L128*(12^0.5)</f>
        <v>0.0214055209241399</v>
      </c>
      <c r="O129">
        <f>O128*(12^0.5)</f>
        <v>0.00973822950629227</v>
      </c>
    </row>
    <row r="130" spans="1:5">
      <c r="A130" t="s">
        <v>155</v>
      </c>
      <c r="E130">
        <f>COVAR(C5:C125,F5:F125)</f>
        <v>0.0037499970045792</v>
      </c>
    </row>
    <row r="131" spans="1:2">
      <c r="A131" t="s">
        <v>156</v>
      </c>
      <c r="B131">
        <f>AVERAGE(C127,F127,I127,L127,O127,)</f>
        <v>0.0351475917433509</v>
      </c>
    </row>
    <row r="133" spans="1:13">
      <c r="A133" s="2" t="s">
        <v>157</v>
      </c>
      <c r="B133" s="3"/>
      <c r="C133" s="3"/>
      <c r="D133" s="2" t="s">
        <v>158</v>
      </c>
      <c r="E133" s="3"/>
      <c r="F133" s="3"/>
      <c r="G133" s="2" t="s">
        <v>159</v>
      </c>
      <c r="H133" s="3"/>
      <c r="I133" s="3"/>
      <c r="J133" s="2" t="s">
        <v>160</v>
      </c>
      <c r="K133" s="3"/>
      <c r="L133" s="3"/>
      <c r="M133" s="2" t="s">
        <v>161</v>
      </c>
    </row>
    <row r="135" spans="2:6">
      <c r="B135" s="2" t="s">
        <v>157</v>
      </c>
      <c r="C135" s="2" t="s">
        <v>158</v>
      </c>
      <c r="D135" s="2" t="s">
        <v>159</v>
      </c>
      <c r="E135" s="2" t="s">
        <v>160</v>
      </c>
      <c r="F135" s="2" t="s">
        <v>161</v>
      </c>
    </row>
    <row r="136" spans="1:14">
      <c r="A136" s="2" t="s">
        <v>157</v>
      </c>
      <c r="B136">
        <f>0.21940169962656^2</f>
        <v>0.0481371057990233</v>
      </c>
      <c r="C136">
        <v>0.0035833608120581</v>
      </c>
      <c r="D136">
        <f>COVAR(C5:C125,I5:I125)</f>
        <v>0.0039126351006696</v>
      </c>
      <c r="E136">
        <f>COVAR(C5:C125,L5:L125)</f>
        <v>-5.70930493289041e-5</v>
      </c>
      <c r="F136">
        <f>COVAR(C5:C125,O5:O125)</f>
        <v>-2.4225546972271e-5</v>
      </c>
      <c r="I136">
        <v>0.2</v>
      </c>
      <c r="J136">
        <v>0.21940169962656</v>
      </c>
      <c r="K136">
        <v>0.803531737287853</v>
      </c>
      <c r="L136">
        <v>0.679885465643246</v>
      </c>
      <c r="M136">
        <v>-0.136595216882525</v>
      </c>
      <c r="N136">
        <v>-0.131265268375012</v>
      </c>
    </row>
    <row r="137" spans="1:14">
      <c r="A137" s="2" t="s">
        <v>158</v>
      </c>
      <c r="B137">
        <v>0.0035833608120581</v>
      </c>
      <c r="C137">
        <f>0.245785753847208^2</f>
        <v>0.0604106367942403</v>
      </c>
      <c r="D137">
        <f>COVAR(F5:F125,I5:I125)</f>
        <v>0.00593880251907657</v>
      </c>
      <c r="E137">
        <f>COVAR(F5:F125,L5:L125)</f>
        <v>-2.69620656106656e-5</v>
      </c>
      <c r="F137">
        <f>COVAR(F5:F125,O5:O125)</f>
        <v>-1.28469417045955e-5</v>
      </c>
      <c r="I137">
        <v>0.2</v>
      </c>
      <c r="J137">
        <v>0.803531737287853</v>
      </c>
      <c r="K137">
        <v>0.245785753847208</v>
      </c>
      <c r="L137">
        <v>0.963078099617263</v>
      </c>
      <c r="M137">
        <v>-0.0333474835014644</v>
      </c>
      <c r="N137">
        <v>-0.0514245227151661</v>
      </c>
    </row>
    <row r="138" spans="1:14">
      <c r="A138" s="2" t="s">
        <v>159</v>
      </c>
      <c r="B138">
        <v>0.00354406621711288</v>
      </c>
      <c r="C138">
        <v>0.00562398685508257</v>
      </c>
      <c r="D138">
        <f>0.287299766065462^2</f>
        <v>0.0825411555812692</v>
      </c>
      <c r="E138">
        <f>COVAR(I5:I125,L5:L125)</f>
        <v>-2.59173820922637e-5</v>
      </c>
      <c r="F138">
        <f>COVAR(I5:I125,O5:O125)</f>
        <v>-9.98275767417386e-6</v>
      </c>
      <c r="I138">
        <v>0.2</v>
      </c>
      <c r="J138">
        <v>0.0600564717788201</v>
      </c>
      <c r="K138">
        <v>0.963078099617263</v>
      </c>
      <c r="L138">
        <v>0.287299766065462</v>
      </c>
      <c r="M138">
        <v>-0.0114813751981099</v>
      </c>
      <c r="N138">
        <v>-0.0255176892254875</v>
      </c>
    </row>
    <row r="139" spans="1:14">
      <c r="A139" s="2" t="s">
        <v>160</v>
      </c>
      <c r="B139">
        <v>-5.45729979465676e-5</v>
      </c>
      <c r="C139">
        <v>-1.49252668902628e-5</v>
      </c>
      <c r="D139">
        <v>-6.00663876275578e-6</v>
      </c>
      <c r="E139">
        <f>0.0220197062993304^2</f>
        <v>0.000484867465508771</v>
      </c>
      <c r="F139">
        <f>COVAR(L5:L125,O5:O125)</f>
        <v>1.4167252316093e-5</v>
      </c>
      <c r="I139">
        <v>0.2</v>
      </c>
      <c r="J139">
        <v>-0.136595216882525</v>
      </c>
      <c r="K139">
        <v>-0.0333474835014644</v>
      </c>
      <c r="L139">
        <v>-0.0114813751981099</v>
      </c>
      <c r="M139">
        <v>0.0220197062993304</v>
      </c>
      <c r="N139">
        <v>0.788433726781647</v>
      </c>
    </row>
    <row r="140" spans="1:14">
      <c r="A140" s="2" t="s">
        <v>161</v>
      </c>
      <c r="B140">
        <v>-2.25701698791653e-5</v>
      </c>
      <c r="C140">
        <v>-9.90539927045202e-6</v>
      </c>
      <c r="D140">
        <v>-5.74541793575711e-6</v>
      </c>
      <c r="E140">
        <v>1.36057261464147e-5</v>
      </c>
      <c r="F140">
        <f>0.00947663598500935^2</f>
        <v>8.98066295923742e-5</v>
      </c>
      <c r="I140">
        <v>0.2</v>
      </c>
      <c r="J140">
        <v>-0.131265268375012</v>
      </c>
      <c r="K140">
        <v>-0.0514245227151661</v>
      </c>
      <c r="L140">
        <v>-0.0255176892254875</v>
      </c>
      <c r="M140">
        <v>0.788433726781647</v>
      </c>
      <c r="N140">
        <v>0.00947663598500935</v>
      </c>
    </row>
    <row r="141" spans="15:15">
      <c r="O141" t="e">
        <f>SQRT(MMULT(MMULT(TRANSPOSE(I136:I140),J136:N140),I136:I140))</f>
        <v>#VALUE!</v>
      </c>
    </row>
    <row r="142" spans="1:2">
      <c r="A142" t="s">
        <v>162</v>
      </c>
      <c r="B142" s="4">
        <v>0.061983</v>
      </c>
    </row>
    <row r="143" spans="1:2">
      <c r="A143" t="s">
        <v>163</v>
      </c>
      <c r="B143" s="4">
        <v>0.141086</v>
      </c>
    </row>
    <row r="144" spans="1:2">
      <c r="A144" t="s">
        <v>164</v>
      </c>
      <c r="B144" s="5">
        <v>0.0176428571428571</v>
      </c>
    </row>
    <row r="145" spans="1:2">
      <c r="A145" t="s">
        <v>165</v>
      </c>
      <c r="B145">
        <f>(B142-B144)/B143</f>
        <v>0.314277411345866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非常态</cp:lastModifiedBy>
  <dcterms:created xsi:type="dcterms:W3CDTF">2015-06-06T02:19:00Z</dcterms:created>
  <dcterms:modified xsi:type="dcterms:W3CDTF">2025-05-31T10:27:30Z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1A9361B9420D2620F3C43768E7B7D620_43</vt:lpwstr>
  </property>
</Properties>
</file>